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E:\EXCEL\"/>
    </mc:Choice>
  </mc:AlternateContent>
  <xr:revisionPtr revIDLastSave="0" documentId="13_ncr:1_{7533B6A5-1C98-4CD6-9192-217F5B60C8CF}" xr6:coauthVersionLast="47" xr6:coauthVersionMax="47" xr10:uidLastSave="{00000000-0000-0000-0000-000000000000}"/>
  <bookViews>
    <workbookView xWindow="0" yWindow="390" windowWidth="20490" windowHeight="10800" firstSheet="2" activeTab="7" xr2:uid="{187AD430-932F-4675-9782-51BC1839B2C6}"/>
  </bookViews>
  <sheets>
    <sheet name="Dataset" sheetId="1" r:id="rId1"/>
    <sheet name="PT_PriceTrend" sheetId="3" r:id="rId2"/>
    <sheet name="PT_Monthly" sheetId="4" r:id="rId3"/>
    <sheet name="PT_52WeekHighLow" sheetId="9" r:id="rId4"/>
    <sheet name="Volume_Month" sheetId="12" r:id="rId5"/>
    <sheet name="PT_HighLow" sheetId="11" r:id="rId6"/>
    <sheet name="KPIs" sheetId="22" r:id="rId7"/>
    <sheet name="Dashboard" sheetId="21" r:id="rId8"/>
  </sheets>
  <definedNames>
    <definedName name="Slicer_Day2">#N/A</definedName>
    <definedName name="Slicer_Month1">#N/A</definedName>
    <definedName name="Slicer_Quarter1">#N/A</definedName>
    <definedName name="Slicer_Year1">#N/A</definedName>
  </definedNames>
  <calcPr calcId="191029"/>
  <pivotCaches>
    <pivotCache cacheId="1"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1" l="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E250" i="1"/>
  <c r="D250" i="1"/>
  <c r="B250" i="1"/>
  <c r="E249" i="1"/>
  <c r="D249" i="1"/>
  <c r="B249" i="1"/>
  <c r="E248" i="1"/>
  <c r="D248" i="1"/>
  <c r="B248" i="1"/>
  <c r="E247" i="1"/>
  <c r="D247" i="1"/>
  <c r="B247" i="1"/>
  <c r="E246" i="1"/>
  <c r="D246" i="1"/>
  <c r="B246" i="1"/>
  <c r="E245" i="1"/>
  <c r="D245" i="1"/>
  <c r="B245" i="1"/>
  <c r="E244" i="1"/>
  <c r="D244" i="1"/>
  <c r="B244" i="1"/>
  <c r="E243" i="1"/>
  <c r="D243" i="1"/>
  <c r="B243" i="1"/>
  <c r="E242" i="1"/>
  <c r="D242" i="1"/>
  <c r="B242" i="1"/>
  <c r="E241" i="1"/>
  <c r="D241" i="1"/>
  <c r="B241" i="1"/>
  <c r="E240" i="1"/>
  <c r="D240" i="1"/>
  <c r="B240" i="1"/>
  <c r="E239" i="1"/>
  <c r="D239" i="1"/>
  <c r="B239" i="1"/>
  <c r="E238" i="1"/>
  <c r="D238" i="1"/>
  <c r="B238" i="1"/>
  <c r="E237" i="1"/>
  <c r="D237" i="1"/>
  <c r="B237" i="1"/>
  <c r="E236" i="1"/>
  <c r="D236" i="1"/>
  <c r="B236" i="1"/>
  <c r="E235" i="1"/>
  <c r="D235" i="1"/>
  <c r="B235" i="1"/>
  <c r="E234" i="1"/>
  <c r="D234" i="1"/>
  <c r="B234" i="1"/>
  <c r="E233" i="1"/>
  <c r="D233" i="1"/>
  <c r="B233" i="1"/>
  <c r="E232" i="1"/>
  <c r="D232" i="1"/>
  <c r="B232" i="1"/>
  <c r="E231" i="1"/>
  <c r="D231" i="1"/>
  <c r="B231" i="1"/>
  <c r="E230" i="1"/>
  <c r="D230" i="1"/>
  <c r="B230" i="1"/>
  <c r="E229" i="1"/>
  <c r="D229" i="1"/>
  <c r="B229" i="1"/>
  <c r="E228" i="1"/>
  <c r="D228" i="1"/>
  <c r="B228" i="1"/>
  <c r="E227" i="1"/>
  <c r="D227" i="1"/>
  <c r="B227" i="1"/>
  <c r="E226" i="1"/>
  <c r="D226" i="1"/>
  <c r="B226" i="1"/>
  <c r="E225" i="1"/>
  <c r="D225" i="1"/>
  <c r="B225" i="1"/>
  <c r="E224" i="1"/>
  <c r="D224" i="1"/>
  <c r="B224" i="1"/>
  <c r="E223" i="1"/>
  <c r="D223" i="1"/>
  <c r="B223" i="1"/>
  <c r="E222" i="1"/>
  <c r="D222" i="1"/>
  <c r="B222" i="1"/>
  <c r="E221" i="1"/>
  <c r="D221" i="1"/>
  <c r="B221" i="1"/>
  <c r="E220" i="1"/>
  <c r="D220" i="1"/>
  <c r="B220" i="1"/>
  <c r="E219" i="1"/>
  <c r="D219" i="1"/>
  <c r="B219" i="1"/>
  <c r="E218" i="1"/>
  <c r="D218" i="1"/>
  <c r="B218" i="1"/>
  <c r="E217" i="1"/>
  <c r="D217" i="1"/>
  <c r="B217" i="1"/>
  <c r="E216" i="1"/>
  <c r="D216" i="1"/>
  <c r="B216" i="1"/>
  <c r="E215" i="1"/>
  <c r="D215" i="1"/>
  <c r="B215" i="1"/>
  <c r="E214" i="1"/>
  <c r="D214" i="1"/>
  <c r="B214" i="1"/>
  <c r="E213" i="1"/>
  <c r="D213" i="1"/>
  <c r="B213" i="1"/>
  <c r="E212" i="1"/>
  <c r="D212" i="1"/>
  <c r="B212" i="1"/>
  <c r="E211" i="1"/>
  <c r="D211" i="1"/>
  <c r="B211" i="1"/>
  <c r="E210" i="1"/>
  <c r="D210" i="1"/>
  <c r="B210" i="1"/>
  <c r="E209" i="1"/>
  <c r="D209" i="1"/>
  <c r="B209" i="1"/>
  <c r="E208" i="1"/>
  <c r="D208" i="1"/>
  <c r="B208" i="1"/>
  <c r="E207" i="1"/>
  <c r="D207" i="1"/>
  <c r="B207" i="1"/>
  <c r="E206" i="1"/>
  <c r="D206" i="1"/>
  <c r="B206" i="1"/>
  <c r="E205" i="1"/>
  <c r="D205" i="1"/>
  <c r="B205" i="1"/>
  <c r="E204" i="1"/>
  <c r="D204" i="1"/>
  <c r="B204" i="1"/>
  <c r="E203" i="1"/>
  <c r="D203" i="1"/>
  <c r="B203" i="1"/>
  <c r="E202" i="1"/>
  <c r="D202" i="1"/>
  <c r="B202" i="1"/>
  <c r="E201" i="1"/>
  <c r="D201" i="1"/>
  <c r="B201" i="1"/>
  <c r="E200" i="1"/>
  <c r="D200" i="1"/>
  <c r="B200" i="1"/>
  <c r="E199" i="1"/>
  <c r="D199" i="1"/>
  <c r="B199" i="1"/>
  <c r="E198" i="1"/>
  <c r="D198" i="1"/>
  <c r="B198" i="1"/>
  <c r="E197" i="1"/>
  <c r="D197" i="1"/>
  <c r="B197" i="1"/>
  <c r="E196" i="1"/>
  <c r="D196" i="1"/>
  <c r="B196" i="1"/>
  <c r="E195" i="1"/>
  <c r="D195" i="1"/>
  <c r="B195" i="1"/>
  <c r="E194" i="1"/>
  <c r="D194" i="1"/>
  <c r="B194" i="1"/>
  <c r="E193" i="1"/>
  <c r="D193" i="1"/>
  <c r="B193" i="1"/>
  <c r="E192" i="1"/>
  <c r="D192" i="1"/>
  <c r="B192" i="1"/>
  <c r="E191" i="1"/>
  <c r="D191" i="1"/>
  <c r="B191" i="1"/>
  <c r="E190" i="1"/>
  <c r="D190" i="1"/>
  <c r="B190" i="1"/>
  <c r="E189" i="1"/>
  <c r="D189" i="1"/>
  <c r="B189" i="1"/>
  <c r="E188" i="1"/>
  <c r="D188" i="1"/>
  <c r="B188" i="1"/>
  <c r="E187" i="1"/>
  <c r="D187" i="1"/>
  <c r="B187" i="1"/>
  <c r="E186" i="1"/>
  <c r="D186" i="1"/>
  <c r="B186" i="1"/>
  <c r="E185" i="1"/>
  <c r="D185" i="1"/>
  <c r="B185" i="1"/>
  <c r="E184" i="1"/>
  <c r="D184" i="1"/>
  <c r="B184" i="1"/>
  <c r="E183" i="1"/>
  <c r="D183" i="1"/>
  <c r="B183" i="1"/>
  <c r="E182" i="1"/>
  <c r="D182" i="1"/>
  <c r="B182" i="1"/>
  <c r="E181" i="1"/>
  <c r="D181" i="1"/>
  <c r="B181" i="1"/>
  <c r="E180" i="1"/>
  <c r="D180" i="1"/>
  <c r="B180" i="1"/>
  <c r="E179" i="1"/>
  <c r="D179" i="1"/>
  <c r="B179" i="1"/>
  <c r="E178" i="1"/>
  <c r="D178" i="1"/>
  <c r="B178" i="1"/>
  <c r="E177" i="1"/>
  <c r="D177" i="1"/>
  <c r="B177" i="1"/>
  <c r="E176" i="1"/>
  <c r="D176" i="1"/>
  <c r="B176" i="1"/>
  <c r="E175" i="1"/>
  <c r="D175" i="1"/>
  <c r="B175" i="1"/>
  <c r="E174" i="1"/>
  <c r="D174" i="1"/>
  <c r="B174" i="1"/>
  <c r="E173" i="1"/>
  <c r="D173" i="1"/>
  <c r="B173" i="1"/>
  <c r="E172" i="1"/>
  <c r="D172" i="1"/>
  <c r="B172" i="1"/>
  <c r="E171" i="1"/>
  <c r="D171" i="1"/>
  <c r="B171" i="1"/>
  <c r="E170" i="1"/>
  <c r="D170" i="1"/>
  <c r="B170" i="1"/>
  <c r="E169" i="1"/>
  <c r="D169" i="1"/>
  <c r="B169" i="1"/>
  <c r="E168" i="1"/>
  <c r="D168" i="1"/>
  <c r="B168" i="1"/>
  <c r="E167" i="1"/>
  <c r="D167" i="1"/>
  <c r="B167" i="1"/>
  <c r="E166" i="1"/>
  <c r="D166" i="1"/>
  <c r="B166" i="1"/>
  <c r="E165" i="1"/>
  <c r="D165" i="1"/>
  <c r="B165" i="1"/>
  <c r="E164" i="1"/>
  <c r="D164" i="1"/>
  <c r="B164" i="1"/>
  <c r="E163" i="1"/>
  <c r="D163" i="1"/>
  <c r="B163" i="1"/>
  <c r="E162" i="1"/>
  <c r="D162" i="1"/>
  <c r="B162" i="1"/>
  <c r="E161" i="1"/>
  <c r="D161" i="1"/>
  <c r="B161" i="1"/>
  <c r="E160" i="1"/>
  <c r="D160" i="1"/>
  <c r="B160" i="1"/>
  <c r="E159" i="1"/>
  <c r="D159" i="1"/>
  <c r="B159" i="1"/>
  <c r="E158" i="1"/>
  <c r="D158" i="1"/>
  <c r="B158" i="1"/>
  <c r="E157" i="1"/>
  <c r="D157" i="1"/>
  <c r="B157" i="1"/>
  <c r="E156" i="1"/>
  <c r="D156" i="1"/>
  <c r="B156" i="1"/>
  <c r="E155" i="1"/>
  <c r="D155" i="1"/>
  <c r="B155" i="1"/>
  <c r="E154" i="1"/>
  <c r="D154" i="1"/>
  <c r="B154" i="1"/>
  <c r="E153" i="1"/>
  <c r="D153" i="1"/>
  <c r="B153" i="1"/>
  <c r="E152" i="1"/>
  <c r="D152" i="1"/>
  <c r="B152" i="1"/>
  <c r="E151" i="1"/>
  <c r="D151" i="1"/>
  <c r="B151" i="1"/>
  <c r="E150" i="1"/>
  <c r="D150" i="1"/>
  <c r="B150" i="1"/>
  <c r="E149" i="1"/>
  <c r="D149" i="1"/>
  <c r="B149" i="1"/>
  <c r="E148" i="1"/>
  <c r="D148" i="1"/>
  <c r="B148" i="1"/>
  <c r="E147" i="1"/>
  <c r="D147" i="1"/>
  <c r="B147" i="1"/>
  <c r="E146" i="1"/>
  <c r="D146" i="1"/>
  <c r="B146" i="1"/>
  <c r="E145" i="1"/>
  <c r="D145" i="1"/>
  <c r="B145" i="1"/>
  <c r="E144" i="1"/>
  <c r="D144" i="1"/>
  <c r="B144" i="1"/>
  <c r="E143" i="1"/>
  <c r="D143" i="1"/>
  <c r="B143" i="1"/>
  <c r="E142" i="1"/>
  <c r="D142" i="1"/>
  <c r="B142" i="1"/>
  <c r="E141" i="1"/>
  <c r="D141" i="1"/>
  <c r="B141" i="1"/>
  <c r="E140" i="1"/>
  <c r="D140" i="1"/>
  <c r="B140" i="1"/>
  <c r="E139" i="1"/>
  <c r="D139" i="1"/>
  <c r="B139" i="1"/>
  <c r="E138" i="1"/>
  <c r="D138" i="1"/>
  <c r="B138" i="1"/>
  <c r="E137" i="1"/>
  <c r="D137" i="1"/>
  <c r="B137" i="1"/>
  <c r="E136" i="1"/>
  <c r="D136" i="1"/>
  <c r="B136" i="1"/>
  <c r="E135" i="1"/>
  <c r="D135" i="1"/>
  <c r="B135" i="1"/>
  <c r="E134" i="1"/>
  <c r="D134" i="1"/>
  <c r="B134" i="1"/>
  <c r="E133" i="1"/>
  <c r="D133" i="1"/>
  <c r="B133" i="1"/>
  <c r="E132" i="1"/>
  <c r="D132" i="1"/>
  <c r="B132" i="1"/>
  <c r="E131" i="1"/>
  <c r="D131" i="1"/>
  <c r="B131" i="1"/>
  <c r="E130" i="1"/>
  <c r="D130" i="1"/>
  <c r="B130" i="1"/>
  <c r="E129" i="1"/>
  <c r="D129" i="1"/>
  <c r="B129" i="1"/>
  <c r="E128" i="1"/>
  <c r="D128" i="1"/>
  <c r="B128" i="1"/>
  <c r="E127" i="1"/>
  <c r="D127" i="1"/>
  <c r="B127" i="1"/>
  <c r="E126" i="1"/>
  <c r="D126" i="1"/>
  <c r="B126" i="1"/>
  <c r="E125" i="1"/>
  <c r="D125" i="1"/>
  <c r="B125" i="1"/>
  <c r="E124" i="1"/>
  <c r="D124" i="1"/>
  <c r="B124" i="1"/>
  <c r="E123" i="1"/>
  <c r="D123" i="1"/>
  <c r="B123" i="1"/>
  <c r="E122" i="1"/>
  <c r="D122" i="1"/>
  <c r="B122" i="1"/>
  <c r="E121" i="1"/>
  <c r="D121" i="1"/>
  <c r="B121" i="1"/>
  <c r="E120" i="1"/>
  <c r="D120" i="1"/>
  <c r="B120" i="1"/>
  <c r="E119" i="1"/>
  <c r="D119" i="1"/>
  <c r="B119" i="1"/>
  <c r="E118" i="1"/>
  <c r="D118" i="1"/>
  <c r="B118" i="1"/>
  <c r="E117" i="1"/>
  <c r="D117" i="1"/>
  <c r="B117" i="1"/>
  <c r="E116" i="1"/>
  <c r="D116" i="1"/>
  <c r="B116" i="1"/>
  <c r="E115" i="1"/>
  <c r="D115" i="1"/>
  <c r="B115" i="1"/>
  <c r="E114" i="1"/>
  <c r="D114" i="1"/>
  <c r="B114" i="1"/>
  <c r="E113" i="1"/>
  <c r="D113" i="1"/>
  <c r="B113" i="1"/>
  <c r="E112" i="1"/>
  <c r="D112" i="1"/>
  <c r="B112" i="1"/>
  <c r="E111" i="1"/>
  <c r="D111" i="1"/>
  <c r="B111" i="1"/>
  <c r="E110" i="1"/>
  <c r="D110" i="1"/>
  <c r="B110" i="1"/>
  <c r="E109" i="1"/>
  <c r="D109" i="1"/>
  <c r="B109" i="1"/>
  <c r="E108" i="1"/>
  <c r="D108" i="1"/>
  <c r="B108" i="1"/>
  <c r="E107" i="1"/>
  <c r="D107" i="1"/>
  <c r="B107" i="1"/>
  <c r="E106" i="1"/>
  <c r="D106" i="1"/>
  <c r="B106" i="1"/>
  <c r="E105" i="1"/>
  <c r="D105" i="1"/>
  <c r="B105" i="1"/>
  <c r="E104" i="1"/>
  <c r="D104" i="1"/>
  <c r="B104" i="1"/>
  <c r="E103" i="1"/>
  <c r="D103" i="1"/>
  <c r="B103" i="1"/>
  <c r="E102" i="1"/>
  <c r="D102" i="1"/>
  <c r="B102" i="1"/>
  <c r="E101" i="1"/>
  <c r="D101" i="1"/>
  <c r="B101" i="1"/>
  <c r="E100" i="1"/>
  <c r="D100" i="1"/>
  <c r="B100" i="1"/>
  <c r="E99" i="1"/>
  <c r="D99" i="1"/>
  <c r="B99" i="1"/>
  <c r="E98" i="1"/>
  <c r="D98" i="1"/>
  <c r="B98" i="1"/>
  <c r="E97" i="1"/>
  <c r="D97" i="1"/>
  <c r="B97" i="1"/>
  <c r="E96" i="1"/>
  <c r="D96" i="1"/>
  <c r="B96" i="1"/>
  <c r="E95" i="1"/>
  <c r="D95" i="1"/>
  <c r="B95" i="1"/>
  <c r="E94" i="1"/>
  <c r="D94" i="1"/>
  <c r="B94" i="1"/>
  <c r="E93" i="1"/>
  <c r="D93" i="1"/>
  <c r="B93" i="1"/>
  <c r="E92" i="1"/>
  <c r="D92" i="1"/>
  <c r="B92" i="1"/>
  <c r="E91" i="1"/>
  <c r="D91" i="1"/>
  <c r="B91" i="1"/>
  <c r="E90" i="1"/>
  <c r="D90" i="1"/>
  <c r="B90" i="1"/>
  <c r="E89" i="1"/>
  <c r="D89" i="1"/>
  <c r="B89" i="1"/>
  <c r="E88" i="1"/>
  <c r="D88" i="1"/>
  <c r="B88" i="1"/>
  <c r="E87" i="1"/>
  <c r="D87" i="1"/>
  <c r="B87" i="1"/>
  <c r="E86" i="1"/>
  <c r="D86" i="1"/>
  <c r="B86" i="1"/>
  <c r="E85" i="1"/>
  <c r="D85" i="1"/>
  <c r="B85" i="1"/>
  <c r="E84" i="1"/>
  <c r="D84" i="1"/>
  <c r="B84" i="1"/>
  <c r="E83" i="1"/>
  <c r="D83" i="1"/>
  <c r="B83" i="1"/>
  <c r="E82" i="1"/>
  <c r="D82" i="1"/>
  <c r="B82" i="1"/>
  <c r="E81" i="1"/>
  <c r="D81" i="1"/>
  <c r="B81" i="1"/>
  <c r="E80" i="1"/>
  <c r="D80" i="1"/>
  <c r="B80" i="1"/>
  <c r="E79" i="1"/>
  <c r="D79" i="1"/>
  <c r="B79" i="1"/>
  <c r="E78" i="1"/>
  <c r="D78" i="1"/>
  <c r="B78" i="1"/>
  <c r="E77" i="1"/>
  <c r="D77" i="1"/>
  <c r="B77" i="1"/>
  <c r="E76" i="1"/>
  <c r="D76" i="1"/>
  <c r="B76" i="1"/>
  <c r="E75" i="1"/>
  <c r="D75" i="1"/>
  <c r="B75" i="1"/>
  <c r="E74" i="1"/>
  <c r="D74" i="1"/>
  <c r="B74" i="1"/>
  <c r="E73" i="1"/>
  <c r="D73" i="1"/>
  <c r="B73" i="1"/>
  <c r="E72" i="1"/>
  <c r="D72" i="1"/>
  <c r="B72" i="1"/>
  <c r="E71" i="1"/>
  <c r="D71" i="1"/>
  <c r="B71" i="1"/>
  <c r="E70" i="1"/>
  <c r="D70" i="1"/>
  <c r="B70" i="1"/>
  <c r="E69" i="1"/>
  <c r="D69" i="1"/>
  <c r="B69" i="1"/>
  <c r="E68" i="1"/>
  <c r="D68" i="1"/>
  <c r="B68" i="1"/>
  <c r="E67" i="1"/>
  <c r="D67" i="1"/>
  <c r="B67" i="1"/>
  <c r="E66" i="1"/>
  <c r="D66" i="1"/>
  <c r="B66" i="1"/>
  <c r="E65" i="1"/>
  <c r="D65" i="1"/>
  <c r="B65" i="1"/>
  <c r="E64" i="1"/>
  <c r="D64" i="1"/>
  <c r="B64" i="1"/>
  <c r="E63" i="1"/>
  <c r="D63" i="1"/>
  <c r="B63" i="1"/>
  <c r="E62" i="1"/>
  <c r="D62" i="1"/>
  <c r="B62" i="1"/>
  <c r="E61" i="1"/>
  <c r="D61" i="1"/>
  <c r="B61" i="1"/>
  <c r="E60" i="1"/>
  <c r="D60" i="1"/>
  <c r="B60" i="1"/>
  <c r="E59" i="1"/>
  <c r="D59" i="1"/>
  <c r="B59" i="1"/>
  <c r="E58" i="1"/>
  <c r="D58" i="1"/>
  <c r="B58" i="1"/>
  <c r="E57" i="1"/>
  <c r="D57" i="1"/>
  <c r="B57" i="1"/>
  <c r="E56" i="1"/>
  <c r="D56" i="1"/>
  <c r="B56" i="1"/>
  <c r="E55" i="1"/>
  <c r="D55" i="1"/>
  <c r="B55" i="1"/>
  <c r="E54" i="1"/>
  <c r="D54" i="1"/>
  <c r="B54" i="1"/>
  <c r="E53" i="1"/>
  <c r="D53" i="1"/>
  <c r="B53" i="1"/>
  <c r="E52" i="1"/>
  <c r="D52" i="1"/>
  <c r="B52" i="1"/>
  <c r="E51" i="1"/>
  <c r="D51" i="1"/>
  <c r="B51" i="1"/>
  <c r="E50" i="1"/>
  <c r="D50" i="1"/>
  <c r="B50" i="1"/>
  <c r="E49" i="1"/>
  <c r="D49" i="1"/>
  <c r="B49" i="1"/>
  <c r="E48" i="1"/>
  <c r="D48" i="1"/>
  <c r="B48" i="1"/>
  <c r="E47" i="1"/>
  <c r="D47" i="1"/>
  <c r="B47" i="1"/>
  <c r="E46" i="1"/>
  <c r="D46" i="1"/>
  <c r="B46" i="1"/>
  <c r="E45" i="1"/>
  <c r="D45" i="1"/>
  <c r="B45" i="1"/>
  <c r="E44" i="1"/>
  <c r="D44" i="1"/>
  <c r="B44" i="1"/>
  <c r="E43" i="1"/>
  <c r="D43" i="1"/>
  <c r="B43" i="1"/>
  <c r="E42" i="1"/>
  <c r="D42" i="1"/>
  <c r="B42" i="1"/>
  <c r="E41" i="1"/>
  <c r="D41" i="1"/>
  <c r="B41" i="1"/>
  <c r="E40" i="1"/>
  <c r="D40" i="1"/>
  <c r="B40" i="1"/>
  <c r="E39" i="1"/>
  <c r="D39" i="1"/>
  <c r="B39" i="1"/>
  <c r="E38" i="1"/>
  <c r="D38" i="1"/>
  <c r="B38" i="1"/>
  <c r="E37" i="1"/>
  <c r="D37" i="1"/>
  <c r="B37" i="1"/>
  <c r="E36" i="1"/>
  <c r="D36" i="1"/>
  <c r="B36" i="1"/>
  <c r="E35" i="1"/>
  <c r="D35" i="1"/>
  <c r="B35" i="1"/>
  <c r="E34" i="1"/>
  <c r="D34" i="1"/>
  <c r="B34" i="1"/>
  <c r="E33" i="1"/>
  <c r="D33" i="1"/>
  <c r="B33" i="1"/>
  <c r="E32" i="1"/>
  <c r="D32" i="1"/>
  <c r="B32" i="1"/>
  <c r="E31" i="1"/>
  <c r="D31" i="1"/>
  <c r="B31" i="1"/>
  <c r="E30" i="1"/>
  <c r="D30" i="1"/>
  <c r="B30" i="1"/>
  <c r="E29" i="1"/>
  <c r="D29" i="1"/>
  <c r="B29" i="1"/>
  <c r="E28" i="1"/>
  <c r="D28" i="1"/>
  <c r="B28" i="1"/>
  <c r="E27" i="1"/>
  <c r="D27" i="1"/>
  <c r="B27" i="1"/>
  <c r="E26" i="1"/>
  <c r="D26" i="1"/>
  <c r="B26" i="1"/>
  <c r="E25" i="1"/>
  <c r="D25" i="1"/>
  <c r="B25" i="1"/>
  <c r="E24" i="1"/>
  <c r="D24" i="1"/>
  <c r="B24" i="1"/>
  <c r="E23" i="1"/>
  <c r="D23" i="1"/>
  <c r="B23" i="1"/>
  <c r="E22" i="1"/>
  <c r="D22" i="1"/>
  <c r="B22" i="1"/>
  <c r="E21" i="1"/>
  <c r="D21" i="1"/>
  <c r="B21" i="1"/>
  <c r="E20" i="1"/>
  <c r="D20" i="1"/>
  <c r="B20" i="1"/>
  <c r="E19" i="1"/>
  <c r="D19" i="1"/>
  <c r="B19" i="1"/>
  <c r="E18" i="1"/>
  <c r="D18" i="1"/>
  <c r="B18" i="1"/>
  <c r="E17" i="1"/>
  <c r="D17" i="1"/>
  <c r="B17" i="1"/>
  <c r="E16" i="1"/>
  <c r="D16" i="1"/>
  <c r="B16" i="1"/>
  <c r="E15" i="1"/>
  <c r="D15" i="1"/>
  <c r="B15" i="1"/>
  <c r="E14" i="1"/>
  <c r="D14" i="1"/>
  <c r="B14" i="1"/>
  <c r="E13" i="1"/>
  <c r="D13" i="1"/>
  <c r="B13" i="1"/>
  <c r="E12" i="1"/>
  <c r="D12" i="1"/>
  <c r="B12" i="1"/>
  <c r="E11" i="1"/>
  <c r="D11" i="1"/>
  <c r="B11" i="1"/>
  <c r="E10" i="1"/>
  <c r="D10" i="1"/>
  <c r="B10" i="1"/>
  <c r="E9" i="1"/>
  <c r="D9" i="1"/>
  <c r="B9" i="1"/>
  <c r="E8" i="1"/>
  <c r="D8" i="1"/>
  <c r="B8" i="1"/>
  <c r="E7" i="1"/>
  <c r="D7" i="1"/>
  <c r="B7" i="1"/>
  <c r="E6" i="1"/>
  <c r="D6" i="1"/>
  <c r="B6" i="1"/>
  <c r="E5" i="1"/>
  <c r="D5" i="1"/>
  <c r="B5" i="1"/>
  <c r="E4" i="1"/>
  <c r="D4" i="1"/>
  <c r="B4" i="1"/>
  <c r="E3" i="1"/>
  <c r="D3" i="1"/>
  <c r="B3" i="1"/>
  <c r="E2" i="1"/>
  <c r="D2" i="1"/>
  <c r="B2" i="1"/>
</calcChain>
</file>

<file path=xl/sharedStrings.xml><?xml version="1.0" encoding="utf-8"?>
<sst xmlns="http://schemas.openxmlformats.org/spreadsheetml/2006/main" count="318" uniqueCount="46">
  <si>
    <t xml:space="preserve">Date </t>
  </si>
  <si>
    <t xml:space="preserve">series </t>
  </si>
  <si>
    <t xml:space="preserve">OPEN </t>
  </si>
  <si>
    <t xml:space="preserve">HIGH </t>
  </si>
  <si>
    <t xml:space="preserve">LOW </t>
  </si>
  <si>
    <t xml:space="preserve">PREV. CLOSE </t>
  </si>
  <si>
    <t xml:space="preserve">ltp </t>
  </si>
  <si>
    <t xml:space="preserve">close </t>
  </si>
  <si>
    <t xml:space="preserve">vwap </t>
  </si>
  <si>
    <t xml:space="preserve">52W H </t>
  </si>
  <si>
    <t xml:space="preserve">52W L </t>
  </si>
  <si>
    <t xml:space="preserve">VOLUME </t>
  </si>
  <si>
    <t xml:space="preserve">No of trades </t>
  </si>
  <si>
    <t>EQ</t>
  </si>
  <si>
    <t>Day</t>
  </si>
  <si>
    <t>Month</t>
  </si>
  <si>
    <t>Year</t>
  </si>
  <si>
    <t>Quarter</t>
  </si>
  <si>
    <t>Row Labels</t>
  </si>
  <si>
    <t xml:space="preserve">Sum of 52W H </t>
  </si>
  <si>
    <t xml:space="preserve">Sum of 52W L </t>
  </si>
  <si>
    <t>May</t>
  </si>
  <si>
    <t xml:space="preserve">Sum of VOLUME </t>
  </si>
  <si>
    <t xml:space="preserve">Average of vwap </t>
  </si>
  <si>
    <t>Grand Total</t>
  </si>
  <si>
    <t xml:space="preserve">Sum of close </t>
  </si>
  <si>
    <t xml:space="preserve">Average of HIGH </t>
  </si>
  <si>
    <t xml:space="preserve">Average of LOW </t>
  </si>
  <si>
    <t>Q2</t>
  </si>
  <si>
    <t>Q3</t>
  </si>
  <si>
    <t>Q4</t>
  </si>
  <si>
    <t>Q1</t>
  </si>
  <si>
    <t>Mar</t>
  </si>
  <si>
    <t>Feb</t>
  </si>
  <si>
    <t>Jan</t>
  </si>
  <si>
    <t>Dec</t>
  </si>
  <si>
    <t>Nov</t>
  </si>
  <si>
    <t>Oct</t>
  </si>
  <si>
    <t>Sep</t>
  </si>
  <si>
    <t>Aug</t>
  </si>
  <si>
    <t>Jul</t>
  </si>
  <si>
    <t>Jun</t>
  </si>
  <si>
    <t>Apr</t>
  </si>
  <si>
    <t>2024</t>
  </si>
  <si>
    <t>2025</t>
  </si>
  <si>
    <t xml:space="preserve">Average of close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</si>
</sst>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quot; Cr&quot;"/>
    <numFmt numFmtId="165" formatCode="&quot;₹&quot;\ 0.0,,,&quot; Crore&quot;"/>
  </numFmts>
  <fonts count="1" x14ac:knownFonts="1">
    <font>
      <sz val="11"/>
      <color theme="1"/>
      <name val="Aptos Narrow"/>
      <family val="2"/>
      <scheme val="minor"/>
    </font>
  </fonts>
  <fills count="3">
    <fill>
      <patternFill patternType="none"/>
    </fill>
    <fill>
      <patternFill patternType="gray125"/>
    </fill>
    <fill>
      <patternFill patternType="solid">
        <fgColor rgb="FF1E1E2F"/>
        <bgColor indexed="64"/>
      </patternFill>
    </fill>
  </fills>
  <borders count="1">
    <border>
      <left/>
      <right/>
      <top/>
      <bottom/>
      <diagonal/>
    </border>
  </borders>
  <cellStyleXfs count="1">
    <xf numFmtId="0" fontId="0" fillId="0" borderId="0"/>
  </cellStyleXfs>
  <cellXfs count="9">
    <xf numFmtId="0" fontId="0" fillId="0" borderId="0" xfId="0"/>
    <xf numFmtId="15" fontId="0" fillId="0" borderId="0" xfId="0" applyNumberFormat="1"/>
    <xf numFmtId="2" fontId="0" fillId="0" borderId="0" xfId="0" applyNumberFormat="1"/>
    <xf numFmtId="0" fontId="0" fillId="0" borderId="0" xfId="0" pivotButton="1"/>
    <xf numFmtId="0" fontId="0" fillId="0" borderId="0" xfId="0" applyAlignment="1">
      <alignment horizontal="left"/>
    </xf>
    <xf numFmtId="15" fontId="0" fillId="0" borderId="0" xfId="0" applyNumberFormat="1" applyAlignment="1">
      <alignment horizontal="left"/>
    </xf>
    <xf numFmtId="0" fontId="0" fillId="2" borderId="0" xfId="0" applyFill="1"/>
    <xf numFmtId="164" fontId="0" fillId="0" borderId="0" xfId="0" applyNumberFormat="1"/>
    <xf numFmtId="165" fontId="0" fillId="0" borderId="0" xfId="0" applyNumberFormat="1"/>
  </cellXfs>
  <cellStyles count="1">
    <cellStyle name="Normal" xfId="0" builtinId="0"/>
  </cellStyles>
  <dxfs count="19">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0" formatCode="dd/mmm/yy"/>
    </dxf>
    <dxf>
      <numFmt numFmtId="20" formatCode="dd/mmm/yy"/>
    </dxf>
    <dxf>
      <numFmt numFmtId="20" formatCode="dd/mmm/yy"/>
    </dxf>
    <dxf>
      <numFmt numFmtId="20" formatCode="dd/mmm/yy"/>
    </dxf>
    <dxf>
      <numFmt numFmtId="20" formatCode="dd/mmm/yy"/>
    </dxf>
    <dxf>
      <fill>
        <patternFill patternType="none">
          <bgColor auto="1"/>
        </patternFill>
      </fill>
    </dxf>
    <dxf>
      <fill>
        <patternFill>
          <bgColor theme="4" tint="0.59996337778862885"/>
        </patternFill>
      </fill>
    </dxf>
    <dxf>
      <fill>
        <patternFill>
          <bgColor theme="5" tint="0.59996337778862885"/>
        </patternFill>
      </fill>
    </dxf>
  </dxfs>
  <tableStyles count="3" defaultTableStyle="TableStyleMedium2" defaultPivotStyle="PivotStyleLight16">
    <tableStyle name="Slicer Style 1" pivot="0" table="0" count="1" xr9:uid="{0A85FA6B-CAF7-4BCE-A42F-C38FCD410E17}">
      <tableStyleElement type="wholeTable" dxfId="18"/>
    </tableStyle>
    <tableStyle name="Slicer Style 2" pivot="0" table="0" count="1" xr9:uid="{AFBD2552-73FD-48A4-8870-4330F2F3DD77}">
      <tableStyleElement type="wholeTable" dxfId="17"/>
    </tableStyle>
    <tableStyle name="Slicer Style 3" pivot="0" table="0" count="1" xr9:uid="{3FE85B0A-E166-45BF-8509-08B6F00253DA}">
      <tableStyleElement type="wholeTable" dxfId="16"/>
    </tableStyle>
  </tableStyles>
  <colors>
    <mruColors>
      <color rgb="FFFFFFFF"/>
      <color rgb="FF3E8654"/>
      <color rgb="FF1E1E2F"/>
      <color rgb="FF00B0F0"/>
      <color rgb="FF00BFFF"/>
      <color rgb="FF00BCD4"/>
      <color rgb="FF00E676"/>
      <color rgb="FF3D3D5C"/>
      <color rgb="FF2C2C3E"/>
      <color rgb="FF2E2E3E"/>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[Stock 1.xlsx]PT_PriceTrend!PivotTable1</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Daily Closing Price Trend</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PT_PriceTrend!$B$3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PT_PriceTrend!$A$4:$A$252</c:f>
              <c:strCache>
                <c:ptCount val="249"/>
                <c:pt idx="0">
                  <c:v>01-Apr-24</c:v>
                </c:pt>
                <c:pt idx="1">
                  <c:v>02-Apr-24</c:v>
                </c:pt>
                <c:pt idx="2">
                  <c:v>03-Apr-24</c:v>
                </c:pt>
                <c:pt idx="3">
                  <c:v>04-Apr-24</c:v>
                </c:pt>
                <c:pt idx="4">
                  <c:v>05-Apr-24</c:v>
                </c:pt>
                <c:pt idx="5">
                  <c:v>08-Apr-24</c:v>
                </c:pt>
                <c:pt idx="6">
                  <c:v>09-Apr-24</c:v>
                </c:pt>
                <c:pt idx="7">
                  <c:v>10-Apr-24</c:v>
                </c:pt>
                <c:pt idx="8">
                  <c:v>12-Apr-24</c:v>
                </c:pt>
                <c:pt idx="9">
                  <c:v>15-Apr-24</c:v>
                </c:pt>
                <c:pt idx="10">
                  <c:v>16-Apr-24</c:v>
                </c:pt>
                <c:pt idx="11">
                  <c:v>18-Apr-24</c:v>
                </c:pt>
                <c:pt idx="12">
                  <c:v>19-Apr-24</c:v>
                </c:pt>
                <c:pt idx="13">
                  <c:v>22-Apr-24</c:v>
                </c:pt>
                <c:pt idx="14">
                  <c:v>23-Apr-24</c:v>
                </c:pt>
                <c:pt idx="15">
                  <c:v>24-Apr-24</c:v>
                </c:pt>
                <c:pt idx="16">
                  <c:v>25-Apr-24</c:v>
                </c:pt>
                <c:pt idx="17">
                  <c:v>26-Apr-24</c:v>
                </c:pt>
                <c:pt idx="18">
                  <c:v>29-Apr-24</c:v>
                </c:pt>
                <c:pt idx="19">
                  <c:v>30-Apr-24</c:v>
                </c:pt>
                <c:pt idx="20">
                  <c:v>02-May-24</c:v>
                </c:pt>
                <c:pt idx="21">
                  <c:v>03-May-24</c:v>
                </c:pt>
                <c:pt idx="22">
                  <c:v>06-May-24</c:v>
                </c:pt>
                <c:pt idx="23">
                  <c:v>07-May-24</c:v>
                </c:pt>
                <c:pt idx="24">
                  <c:v>08-May-24</c:v>
                </c:pt>
                <c:pt idx="25">
                  <c:v>09-May-24</c:v>
                </c:pt>
                <c:pt idx="26">
                  <c:v>10-May-24</c:v>
                </c:pt>
                <c:pt idx="27">
                  <c:v>13-May-24</c:v>
                </c:pt>
                <c:pt idx="28">
                  <c:v>14-May-24</c:v>
                </c:pt>
                <c:pt idx="29">
                  <c:v>15-May-24</c:v>
                </c:pt>
                <c:pt idx="30">
                  <c:v>16-May-24</c:v>
                </c:pt>
                <c:pt idx="31">
                  <c:v>17-May-24</c:v>
                </c:pt>
                <c:pt idx="32">
                  <c:v>18-May-24</c:v>
                </c:pt>
                <c:pt idx="33">
                  <c:v>21-May-24</c:v>
                </c:pt>
                <c:pt idx="34">
                  <c:v>22-May-24</c:v>
                </c:pt>
                <c:pt idx="35">
                  <c:v>23-May-24</c:v>
                </c:pt>
                <c:pt idx="36">
                  <c:v>24-May-24</c:v>
                </c:pt>
                <c:pt idx="37">
                  <c:v>27-May-24</c:v>
                </c:pt>
                <c:pt idx="38">
                  <c:v>28-May-24</c:v>
                </c:pt>
                <c:pt idx="39">
                  <c:v>29-May-24</c:v>
                </c:pt>
                <c:pt idx="40">
                  <c:v>30-May-24</c:v>
                </c:pt>
                <c:pt idx="41">
                  <c:v>31-May-24</c:v>
                </c:pt>
                <c:pt idx="42">
                  <c:v>03-Jun-24</c:v>
                </c:pt>
                <c:pt idx="43">
                  <c:v>04-Jun-24</c:v>
                </c:pt>
                <c:pt idx="44">
                  <c:v>05-Jun-24</c:v>
                </c:pt>
                <c:pt idx="45">
                  <c:v>06-Jun-24</c:v>
                </c:pt>
                <c:pt idx="46">
                  <c:v>07-Jun-24</c:v>
                </c:pt>
                <c:pt idx="47">
                  <c:v>10-Jun-24</c:v>
                </c:pt>
                <c:pt idx="48">
                  <c:v>11-Jun-24</c:v>
                </c:pt>
                <c:pt idx="49">
                  <c:v>12-Jun-24</c:v>
                </c:pt>
                <c:pt idx="50">
                  <c:v>13-Jun-24</c:v>
                </c:pt>
                <c:pt idx="51">
                  <c:v>14-Jun-24</c:v>
                </c:pt>
                <c:pt idx="52">
                  <c:v>18-Jun-24</c:v>
                </c:pt>
                <c:pt idx="53">
                  <c:v>19-Jun-24</c:v>
                </c:pt>
                <c:pt idx="54">
                  <c:v>20-Jun-24</c:v>
                </c:pt>
                <c:pt idx="55">
                  <c:v>21-Jun-24</c:v>
                </c:pt>
                <c:pt idx="56">
                  <c:v>24-Jun-24</c:v>
                </c:pt>
                <c:pt idx="57">
                  <c:v>25-Jun-24</c:v>
                </c:pt>
                <c:pt idx="58">
                  <c:v>26-Jun-24</c:v>
                </c:pt>
                <c:pt idx="59">
                  <c:v>27-Jun-24</c:v>
                </c:pt>
                <c:pt idx="60">
                  <c:v>28-Jun-24</c:v>
                </c:pt>
                <c:pt idx="61">
                  <c:v>01-Jul-24</c:v>
                </c:pt>
                <c:pt idx="62">
                  <c:v>02-Jul-24</c:v>
                </c:pt>
                <c:pt idx="63">
                  <c:v>03-Jul-24</c:v>
                </c:pt>
                <c:pt idx="64">
                  <c:v>04-Jul-24</c:v>
                </c:pt>
                <c:pt idx="65">
                  <c:v>05-Jul-24</c:v>
                </c:pt>
                <c:pt idx="66">
                  <c:v>08-Jul-24</c:v>
                </c:pt>
                <c:pt idx="67">
                  <c:v>09-Jul-24</c:v>
                </c:pt>
                <c:pt idx="68">
                  <c:v>10-Jul-24</c:v>
                </c:pt>
                <c:pt idx="69">
                  <c:v>11-Jul-24</c:v>
                </c:pt>
                <c:pt idx="70">
                  <c:v>12-Jul-24</c:v>
                </c:pt>
                <c:pt idx="71">
                  <c:v>15-Jul-24</c:v>
                </c:pt>
                <c:pt idx="72">
                  <c:v>16-Jul-24</c:v>
                </c:pt>
                <c:pt idx="73">
                  <c:v>18-Jul-24</c:v>
                </c:pt>
                <c:pt idx="74">
                  <c:v>19-Jul-24</c:v>
                </c:pt>
                <c:pt idx="75">
                  <c:v>22-Jul-24</c:v>
                </c:pt>
                <c:pt idx="76">
                  <c:v>23-Jul-24</c:v>
                </c:pt>
                <c:pt idx="77">
                  <c:v>24-Jul-24</c:v>
                </c:pt>
                <c:pt idx="78">
                  <c:v>25-Jul-24</c:v>
                </c:pt>
                <c:pt idx="79">
                  <c:v>26-Jul-24</c:v>
                </c:pt>
                <c:pt idx="80">
                  <c:v>29-Jul-24</c:v>
                </c:pt>
                <c:pt idx="81">
                  <c:v>30-Jul-24</c:v>
                </c:pt>
                <c:pt idx="82">
                  <c:v>31-Jul-24</c:v>
                </c:pt>
                <c:pt idx="83">
                  <c:v>01-Aug-24</c:v>
                </c:pt>
                <c:pt idx="84">
                  <c:v>02-Aug-24</c:v>
                </c:pt>
                <c:pt idx="85">
                  <c:v>05-Aug-24</c:v>
                </c:pt>
                <c:pt idx="86">
                  <c:v>06-Aug-24</c:v>
                </c:pt>
                <c:pt idx="87">
                  <c:v>07-Aug-24</c:v>
                </c:pt>
                <c:pt idx="88">
                  <c:v>08-Aug-24</c:v>
                </c:pt>
                <c:pt idx="89">
                  <c:v>09-Aug-24</c:v>
                </c:pt>
                <c:pt idx="90">
                  <c:v>12-Aug-24</c:v>
                </c:pt>
                <c:pt idx="91">
                  <c:v>13-Aug-24</c:v>
                </c:pt>
                <c:pt idx="92">
                  <c:v>14-Aug-24</c:v>
                </c:pt>
                <c:pt idx="93">
                  <c:v>16-Aug-24</c:v>
                </c:pt>
                <c:pt idx="94">
                  <c:v>19-Aug-24</c:v>
                </c:pt>
                <c:pt idx="95">
                  <c:v>20-Aug-24</c:v>
                </c:pt>
                <c:pt idx="96">
                  <c:v>21-Aug-24</c:v>
                </c:pt>
                <c:pt idx="97">
                  <c:v>22-Aug-24</c:v>
                </c:pt>
                <c:pt idx="98">
                  <c:v>23-Aug-24</c:v>
                </c:pt>
                <c:pt idx="99">
                  <c:v>26-Aug-24</c:v>
                </c:pt>
                <c:pt idx="100">
                  <c:v>27-Aug-24</c:v>
                </c:pt>
                <c:pt idx="101">
                  <c:v>28-Aug-24</c:v>
                </c:pt>
                <c:pt idx="102">
                  <c:v>29-Aug-24</c:v>
                </c:pt>
                <c:pt idx="103">
                  <c:v>30-Aug-24</c:v>
                </c:pt>
                <c:pt idx="104">
                  <c:v>02-Sep-24</c:v>
                </c:pt>
                <c:pt idx="105">
                  <c:v>03-Sep-24</c:v>
                </c:pt>
                <c:pt idx="106">
                  <c:v>04-Sep-24</c:v>
                </c:pt>
                <c:pt idx="107">
                  <c:v>05-Sep-24</c:v>
                </c:pt>
                <c:pt idx="108">
                  <c:v>06-Sep-24</c:v>
                </c:pt>
                <c:pt idx="109">
                  <c:v>09-Sep-24</c:v>
                </c:pt>
                <c:pt idx="110">
                  <c:v>10-Sep-24</c:v>
                </c:pt>
                <c:pt idx="111">
                  <c:v>11-Sep-24</c:v>
                </c:pt>
                <c:pt idx="112">
                  <c:v>12-Sep-24</c:v>
                </c:pt>
                <c:pt idx="113">
                  <c:v>13-Sep-24</c:v>
                </c:pt>
                <c:pt idx="114">
                  <c:v>16-Sep-24</c:v>
                </c:pt>
                <c:pt idx="115">
                  <c:v>17-Sep-24</c:v>
                </c:pt>
                <c:pt idx="116">
                  <c:v>18-Sep-24</c:v>
                </c:pt>
                <c:pt idx="117">
                  <c:v>19-Sep-24</c:v>
                </c:pt>
                <c:pt idx="118">
                  <c:v>20-Sep-24</c:v>
                </c:pt>
                <c:pt idx="119">
                  <c:v>23-Sep-24</c:v>
                </c:pt>
                <c:pt idx="120">
                  <c:v>24-Sep-24</c:v>
                </c:pt>
                <c:pt idx="121">
                  <c:v>25-Sep-24</c:v>
                </c:pt>
                <c:pt idx="122">
                  <c:v>26-Sep-24</c:v>
                </c:pt>
                <c:pt idx="123">
                  <c:v>27-Sep-24</c:v>
                </c:pt>
                <c:pt idx="124">
                  <c:v>30-Sep-24</c:v>
                </c:pt>
                <c:pt idx="125">
                  <c:v>01-Oct-24</c:v>
                </c:pt>
                <c:pt idx="126">
                  <c:v>03-Oct-24</c:v>
                </c:pt>
                <c:pt idx="127">
                  <c:v>04-Oct-24</c:v>
                </c:pt>
                <c:pt idx="128">
                  <c:v>07-Oct-24</c:v>
                </c:pt>
                <c:pt idx="129">
                  <c:v>08-Oct-24</c:v>
                </c:pt>
                <c:pt idx="130">
                  <c:v>09-Oct-24</c:v>
                </c:pt>
                <c:pt idx="131">
                  <c:v>10-Oct-24</c:v>
                </c:pt>
                <c:pt idx="132">
                  <c:v>11-Oct-24</c:v>
                </c:pt>
                <c:pt idx="133">
                  <c:v>14-Oct-24</c:v>
                </c:pt>
                <c:pt idx="134">
                  <c:v>15-Oct-24</c:v>
                </c:pt>
                <c:pt idx="135">
                  <c:v>16-Oct-24</c:v>
                </c:pt>
                <c:pt idx="136">
                  <c:v>17-Oct-24</c:v>
                </c:pt>
                <c:pt idx="137">
                  <c:v>18-Oct-24</c:v>
                </c:pt>
                <c:pt idx="138">
                  <c:v>21-Oct-24</c:v>
                </c:pt>
                <c:pt idx="139">
                  <c:v>22-Oct-24</c:v>
                </c:pt>
                <c:pt idx="140">
                  <c:v>23-Oct-24</c:v>
                </c:pt>
                <c:pt idx="141">
                  <c:v>24-Oct-24</c:v>
                </c:pt>
                <c:pt idx="142">
                  <c:v>25-Oct-24</c:v>
                </c:pt>
                <c:pt idx="143">
                  <c:v>28-Oct-24</c:v>
                </c:pt>
                <c:pt idx="144">
                  <c:v>29-Oct-24</c:v>
                </c:pt>
                <c:pt idx="145">
                  <c:v>30-Oct-24</c:v>
                </c:pt>
                <c:pt idx="146">
                  <c:v>31-Oct-24</c:v>
                </c:pt>
                <c:pt idx="147">
                  <c:v>01-Nov-24</c:v>
                </c:pt>
                <c:pt idx="148">
                  <c:v>04-Nov-24</c:v>
                </c:pt>
                <c:pt idx="149">
                  <c:v>05-Nov-24</c:v>
                </c:pt>
                <c:pt idx="150">
                  <c:v>06-Nov-24</c:v>
                </c:pt>
                <c:pt idx="151">
                  <c:v>07-Nov-24</c:v>
                </c:pt>
                <c:pt idx="152">
                  <c:v>08-Nov-24</c:v>
                </c:pt>
                <c:pt idx="153">
                  <c:v>11-Nov-24</c:v>
                </c:pt>
                <c:pt idx="154">
                  <c:v>12-Nov-24</c:v>
                </c:pt>
                <c:pt idx="155">
                  <c:v>13-Nov-24</c:v>
                </c:pt>
                <c:pt idx="156">
                  <c:v>14-Nov-24</c:v>
                </c:pt>
                <c:pt idx="157">
                  <c:v>18-Nov-24</c:v>
                </c:pt>
                <c:pt idx="158">
                  <c:v>19-Nov-24</c:v>
                </c:pt>
                <c:pt idx="159">
                  <c:v>21-Nov-24</c:v>
                </c:pt>
                <c:pt idx="160">
                  <c:v>22-Nov-24</c:v>
                </c:pt>
                <c:pt idx="161">
                  <c:v>25-Nov-24</c:v>
                </c:pt>
                <c:pt idx="162">
                  <c:v>26-Nov-24</c:v>
                </c:pt>
                <c:pt idx="163">
                  <c:v>27-Nov-24</c:v>
                </c:pt>
                <c:pt idx="164">
                  <c:v>28-Nov-24</c:v>
                </c:pt>
                <c:pt idx="165">
                  <c:v>29-Nov-24</c:v>
                </c:pt>
                <c:pt idx="166">
                  <c:v>02-Dec-24</c:v>
                </c:pt>
                <c:pt idx="167">
                  <c:v>03-Dec-24</c:v>
                </c:pt>
                <c:pt idx="168">
                  <c:v>04-Dec-24</c:v>
                </c:pt>
                <c:pt idx="169">
                  <c:v>05-Dec-24</c:v>
                </c:pt>
                <c:pt idx="170">
                  <c:v>06-Dec-24</c:v>
                </c:pt>
                <c:pt idx="171">
                  <c:v>09-Dec-24</c:v>
                </c:pt>
                <c:pt idx="172">
                  <c:v>10-Dec-24</c:v>
                </c:pt>
                <c:pt idx="173">
                  <c:v>11-Dec-24</c:v>
                </c:pt>
                <c:pt idx="174">
                  <c:v>12-Dec-24</c:v>
                </c:pt>
                <c:pt idx="175">
                  <c:v>13-Dec-24</c:v>
                </c:pt>
                <c:pt idx="176">
                  <c:v>16-Dec-24</c:v>
                </c:pt>
                <c:pt idx="177">
                  <c:v>17-Dec-24</c:v>
                </c:pt>
                <c:pt idx="178">
                  <c:v>18-Dec-24</c:v>
                </c:pt>
                <c:pt idx="179">
                  <c:v>19-Dec-24</c:v>
                </c:pt>
                <c:pt idx="180">
                  <c:v>20-Dec-24</c:v>
                </c:pt>
                <c:pt idx="181">
                  <c:v>23-Dec-24</c:v>
                </c:pt>
                <c:pt idx="182">
                  <c:v>24-Dec-24</c:v>
                </c:pt>
                <c:pt idx="183">
                  <c:v>26-Dec-24</c:v>
                </c:pt>
                <c:pt idx="184">
                  <c:v>27-Dec-24</c:v>
                </c:pt>
                <c:pt idx="185">
                  <c:v>30-Dec-24</c:v>
                </c:pt>
                <c:pt idx="186">
                  <c:v>31-Dec-24</c:v>
                </c:pt>
                <c:pt idx="187">
                  <c:v>01-Jan-25</c:v>
                </c:pt>
                <c:pt idx="188">
                  <c:v>02-Jan-25</c:v>
                </c:pt>
                <c:pt idx="189">
                  <c:v>03-Jan-25</c:v>
                </c:pt>
                <c:pt idx="190">
                  <c:v>06-Jan-25</c:v>
                </c:pt>
                <c:pt idx="191">
                  <c:v>07-Jan-25</c:v>
                </c:pt>
                <c:pt idx="192">
                  <c:v>08-Jan-25</c:v>
                </c:pt>
                <c:pt idx="193">
                  <c:v>09-Jan-25</c:v>
                </c:pt>
                <c:pt idx="194">
                  <c:v>10-Jan-25</c:v>
                </c:pt>
                <c:pt idx="195">
                  <c:v>13-Jan-25</c:v>
                </c:pt>
                <c:pt idx="196">
                  <c:v>14-Jan-25</c:v>
                </c:pt>
                <c:pt idx="197">
                  <c:v>15-Jan-25</c:v>
                </c:pt>
                <c:pt idx="198">
                  <c:v>16-Jan-25</c:v>
                </c:pt>
                <c:pt idx="199">
                  <c:v>17-Jan-25</c:v>
                </c:pt>
                <c:pt idx="200">
                  <c:v>20-Jan-25</c:v>
                </c:pt>
                <c:pt idx="201">
                  <c:v>21-Jan-25</c:v>
                </c:pt>
                <c:pt idx="202">
                  <c:v>22-Jan-25</c:v>
                </c:pt>
                <c:pt idx="203">
                  <c:v>23-Jan-25</c:v>
                </c:pt>
                <c:pt idx="204">
                  <c:v>24-Jan-25</c:v>
                </c:pt>
                <c:pt idx="205">
                  <c:v>27-Jan-25</c:v>
                </c:pt>
                <c:pt idx="206">
                  <c:v>28-Jan-25</c:v>
                </c:pt>
                <c:pt idx="207">
                  <c:v>29-Jan-25</c:v>
                </c:pt>
                <c:pt idx="208">
                  <c:v>30-Jan-25</c:v>
                </c:pt>
                <c:pt idx="209">
                  <c:v>31-Jan-25</c:v>
                </c:pt>
                <c:pt idx="210">
                  <c:v>01-Feb-25</c:v>
                </c:pt>
                <c:pt idx="211">
                  <c:v>03-Feb-25</c:v>
                </c:pt>
                <c:pt idx="212">
                  <c:v>04-Feb-25</c:v>
                </c:pt>
                <c:pt idx="213">
                  <c:v>05-Feb-25</c:v>
                </c:pt>
                <c:pt idx="214">
                  <c:v>06-Feb-25</c:v>
                </c:pt>
                <c:pt idx="215">
                  <c:v>07-Feb-25</c:v>
                </c:pt>
                <c:pt idx="216">
                  <c:v>10-Feb-25</c:v>
                </c:pt>
                <c:pt idx="217">
                  <c:v>11-Feb-25</c:v>
                </c:pt>
                <c:pt idx="218">
                  <c:v>12-Feb-25</c:v>
                </c:pt>
                <c:pt idx="219">
                  <c:v>13-Feb-25</c:v>
                </c:pt>
                <c:pt idx="220">
                  <c:v>14-Feb-25</c:v>
                </c:pt>
                <c:pt idx="221">
                  <c:v>17-Feb-25</c:v>
                </c:pt>
                <c:pt idx="222">
                  <c:v>18-Feb-25</c:v>
                </c:pt>
                <c:pt idx="223">
                  <c:v>19-Feb-25</c:v>
                </c:pt>
                <c:pt idx="224">
                  <c:v>20-Feb-25</c:v>
                </c:pt>
                <c:pt idx="225">
                  <c:v>21-Feb-25</c:v>
                </c:pt>
                <c:pt idx="226">
                  <c:v>24-Feb-25</c:v>
                </c:pt>
                <c:pt idx="227">
                  <c:v>25-Feb-25</c:v>
                </c:pt>
                <c:pt idx="228">
                  <c:v>27-Feb-25</c:v>
                </c:pt>
                <c:pt idx="229">
                  <c:v>28-Feb-25</c:v>
                </c:pt>
                <c:pt idx="230">
                  <c:v>03-Mar-25</c:v>
                </c:pt>
                <c:pt idx="231">
                  <c:v>04-Mar-25</c:v>
                </c:pt>
                <c:pt idx="232">
                  <c:v>05-Mar-25</c:v>
                </c:pt>
                <c:pt idx="233">
                  <c:v>06-Mar-25</c:v>
                </c:pt>
                <c:pt idx="234">
                  <c:v>07-Mar-25</c:v>
                </c:pt>
                <c:pt idx="235">
                  <c:v>10-Mar-25</c:v>
                </c:pt>
                <c:pt idx="236">
                  <c:v>11-Mar-25</c:v>
                </c:pt>
                <c:pt idx="237">
                  <c:v>12-Mar-25</c:v>
                </c:pt>
                <c:pt idx="238">
                  <c:v>13-Mar-25</c:v>
                </c:pt>
                <c:pt idx="239">
                  <c:v>17-Mar-25</c:v>
                </c:pt>
                <c:pt idx="240">
                  <c:v>18-Mar-25</c:v>
                </c:pt>
                <c:pt idx="241">
                  <c:v>19-Mar-25</c:v>
                </c:pt>
                <c:pt idx="242">
                  <c:v>20-Mar-25</c:v>
                </c:pt>
                <c:pt idx="243">
                  <c:v>21-Mar-25</c:v>
                </c:pt>
                <c:pt idx="244">
                  <c:v>24-Mar-25</c:v>
                </c:pt>
                <c:pt idx="245">
                  <c:v>25-Mar-25</c:v>
                </c:pt>
                <c:pt idx="246">
                  <c:v>26-Mar-25</c:v>
                </c:pt>
                <c:pt idx="247">
                  <c:v>27-Mar-25</c:v>
                </c:pt>
                <c:pt idx="248">
                  <c:v>28-Mar-25</c:v>
                </c:pt>
              </c:strCache>
            </c:strRef>
          </c:cat>
          <c:val>
            <c:numRef>
              <c:f>PT_PriceTrend!$B$4:$B$252</c:f>
              <c:numCache>
                <c:formatCode>0.00</c:formatCode>
                <c:ptCount val="249"/>
                <c:pt idx="0">
                  <c:v>992.25</c:v>
                </c:pt>
                <c:pt idx="1">
                  <c:v>1004.65</c:v>
                </c:pt>
                <c:pt idx="2">
                  <c:v>1009.15</c:v>
                </c:pt>
                <c:pt idx="3">
                  <c:v>1011.6</c:v>
                </c:pt>
                <c:pt idx="4">
                  <c:v>1007.1</c:v>
                </c:pt>
                <c:pt idx="5">
                  <c:v>1013.2</c:v>
                </c:pt>
                <c:pt idx="6">
                  <c:v>1008.5</c:v>
                </c:pt>
                <c:pt idx="7">
                  <c:v>1013.5</c:v>
                </c:pt>
                <c:pt idx="8">
                  <c:v>1018.5</c:v>
                </c:pt>
                <c:pt idx="9">
                  <c:v>998.8</c:v>
                </c:pt>
                <c:pt idx="10">
                  <c:v>992.8</c:v>
                </c:pt>
                <c:pt idx="11">
                  <c:v>971.35</c:v>
                </c:pt>
                <c:pt idx="12">
                  <c:v>963.2</c:v>
                </c:pt>
                <c:pt idx="13">
                  <c:v>973.55</c:v>
                </c:pt>
                <c:pt idx="14">
                  <c:v>986.75</c:v>
                </c:pt>
                <c:pt idx="15">
                  <c:v>991.65</c:v>
                </c:pt>
                <c:pt idx="16">
                  <c:v>1001.25</c:v>
                </c:pt>
                <c:pt idx="17">
                  <c:v>999.5</c:v>
                </c:pt>
                <c:pt idx="18">
                  <c:v>1000.6</c:v>
                </c:pt>
                <c:pt idx="19">
                  <c:v>1007.9</c:v>
                </c:pt>
                <c:pt idx="20">
                  <c:v>1027.8</c:v>
                </c:pt>
                <c:pt idx="21">
                  <c:v>1013.4</c:v>
                </c:pt>
                <c:pt idx="22">
                  <c:v>1016.2</c:v>
                </c:pt>
                <c:pt idx="23">
                  <c:v>988.55</c:v>
                </c:pt>
                <c:pt idx="24">
                  <c:v>1012.1</c:v>
                </c:pt>
                <c:pt idx="25">
                  <c:v>1030.3</c:v>
                </c:pt>
                <c:pt idx="26">
                  <c:v>1046.6500000000001</c:v>
                </c:pt>
                <c:pt idx="27">
                  <c:v>959.75</c:v>
                </c:pt>
                <c:pt idx="28">
                  <c:v>964.65</c:v>
                </c:pt>
                <c:pt idx="29">
                  <c:v>947.3</c:v>
                </c:pt>
                <c:pt idx="30">
                  <c:v>936.4</c:v>
                </c:pt>
                <c:pt idx="31">
                  <c:v>945.7</c:v>
                </c:pt>
                <c:pt idx="32">
                  <c:v>953.95</c:v>
                </c:pt>
                <c:pt idx="33">
                  <c:v>951.3</c:v>
                </c:pt>
                <c:pt idx="34">
                  <c:v>947.5</c:v>
                </c:pt>
                <c:pt idx="35">
                  <c:v>962.35</c:v>
                </c:pt>
                <c:pt idx="36">
                  <c:v>960.55</c:v>
                </c:pt>
                <c:pt idx="37">
                  <c:v>958.5</c:v>
                </c:pt>
                <c:pt idx="38">
                  <c:v>947.55</c:v>
                </c:pt>
                <c:pt idx="39">
                  <c:v>943.6</c:v>
                </c:pt>
                <c:pt idx="40">
                  <c:v>923.95</c:v>
                </c:pt>
                <c:pt idx="41">
                  <c:v>923</c:v>
                </c:pt>
                <c:pt idx="42">
                  <c:v>950.45</c:v>
                </c:pt>
                <c:pt idx="43">
                  <c:v>903.9</c:v>
                </c:pt>
                <c:pt idx="44">
                  <c:v>929.95</c:v>
                </c:pt>
                <c:pt idx="45">
                  <c:v>938.25</c:v>
                </c:pt>
                <c:pt idx="46">
                  <c:v>970.5</c:v>
                </c:pt>
                <c:pt idx="47">
                  <c:v>975.15</c:v>
                </c:pt>
                <c:pt idx="48">
                  <c:v>987.1</c:v>
                </c:pt>
                <c:pt idx="49">
                  <c:v>988.7</c:v>
                </c:pt>
                <c:pt idx="50">
                  <c:v>985.85</c:v>
                </c:pt>
                <c:pt idx="51">
                  <c:v>993.4</c:v>
                </c:pt>
                <c:pt idx="52">
                  <c:v>985.9</c:v>
                </c:pt>
                <c:pt idx="53">
                  <c:v>977.35</c:v>
                </c:pt>
                <c:pt idx="54">
                  <c:v>978.25</c:v>
                </c:pt>
                <c:pt idx="55">
                  <c:v>961.8</c:v>
                </c:pt>
                <c:pt idx="56">
                  <c:v>958.05</c:v>
                </c:pt>
                <c:pt idx="57">
                  <c:v>955</c:v>
                </c:pt>
                <c:pt idx="58">
                  <c:v>951.85</c:v>
                </c:pt>
                <c:pt idx="59">
                  <c:v>972.1</c:v>
                </c:pt>
                <c:pt idx="60">
                  <c:v>989.75</c:v>
                </c:pt>
                <c:pt idx="61">
                  <c:v>1002.05</c:v>
                </c:pt>
                <c:pt idx="62">
                  <c:v>981.3</c:v>
                </c:pt>
                <c:pt idx="63">
                  <c:v>975.65</c:v>
                </c:pt>
                <c:pt idx="64">
                  <c:v>998.2</c:v>
                </c:pt>
                <c:pt idx="65">
                  <c:v>993.65</c:v>
                </c:pt>
                <c:pt idx="66">
                  <c:v>1002.6</c:v>
                </c:pt>
                <c:pt idx="67">
                  <c:v>1014.95</c:v>
                </c:pt>
                <c:pt idx="68">
                  <c:v>1005.5</c:v>
                </c:pt>
                <c:pt idx="69">
                  <c:v>1020.8</c:v>
                </c:pt>
                <c:pt idx="70">
                  <c:v>1016.75</c:v>
                </c:pt>
                <c:pt idx="71">
                  <c:v>1024.45</c:v>
                </c:pt>
                <c:pt idx="72">
                  <c:v>1021.15</c:v>
                </c:pt>
                <c:pt idx="73">
                  <c:v>1024.55</c:v>
                </c:pt>
                <c:pt idx="74">
                  <c:v>990</c:v>
                </c:pt>
                <c:pt idx="75">
                  <c:v>1003.15</c:v>
                </c:pt>
                <c:pt idx="76">
                  <c:v>1001.8</c:v>
                </c:pt>
                <c:pt idx="77">
                  <c:v>1027.7</c:v>
                </c:pt>
                <c:pt idx="78">
                  <c:v>1090.95</c:v>
                </c:pt>
                <c:pt idx="79">
                  <c:v>1118.3</c:v>
                </c:pt>
                <c:pt idx="80">
                  <c:v>1124</c:v>
                </c:pt>
                <c:pt idx="81">
                  <c:v>1161.8499999999999</c:v>
                </c:pt>
                <c:pt idx="82">
                  <c:v>1156.6500000000001</c:v>
                </c:pt>
                <c:pt idx="83">
                  <c:v>1144.4000000000001</c:v>
                </c:pt>
                <c:pt idx="84">
                  <c:v>1096.6500000000001</c:v>
                </c:pt>
                <c:pt idx="85">
                  <c:v>1016.45</c:v>
                </c:pt>
                <c:pt idx="86">
                  <c:v>1013.75</c:v>
                </c:pt>
                <c:pt idx="87">
                  <c:v>1025.3</c:v>
                </c:pt>
                <c:pt idx="88">
                  <c:v>1041.75</c:v>
                </c:pt>
                <c:pt idx="89">
                  <c:v>1068.0999999999999</c:v>
                </c:pt>
                <c:pt idx="90">
                  <c:v>1076.1500000000001</c:v>
                </c:pt>
                <c:pt idx="91">
                  <c:v>1053.45</c:v>
                </c:pt>
                <c:pt idx="92">
                  <c:v>1062.3499999999999</c:v>
                </c:pt>
                <c:pt idx="93">
                  <c:v>1098.3499999999999</c:v>
                </c:pt>
                <c:pt idx="94">
                  <c:v>1087.7</c:v>
                </c:pt>
                <c:pt idx="95">
                  <c:v>1086.9000000000001</c:v>
                </c:pt>
                <c:pt idx="96">
                  <c:v>1085.2</c:v>
                </c:pt>
                <c:pt idx="97">
                  <c:v>1068.45</c:v>
                </c:pt>
                <c:pt idx="98">
                  <c:v>1085.1500000000001</c:v>
                </c:pt>
                <c:pt idx="99">
                  <c:v>1092.4000000000001</c:v>
                </c:pt>
                <c:pt idx="100">
                  <c:v>1077.25</c:v>
                </c:pt>
                <c:pt idx="101">
                  <c:v>1074.55</c:v>
                </c:pt>
                <c:pt idx="102">
                  <c:v>1121.6500000000001</c:v>
                </c:pt>
                <c:pt idx="103">
                  <c:v>1111.3499999999999</c:v>
                </c:pt>
                <c:pt idx="104">
                  <c:v>1092.6500000000001</c:v>
                </c:pt>
                <c:pt idx="105">
                  <c:v>1085.0999999999999</c:v>
                </c:pt>
                <c:pt idx="106">
                  <c:v>1080.45</c:v>
                </c:pt>
                <c:pt idx="107">
                  <c:v>1069.1500000000001</c:v>
                </c:pt>
                <c:pt idx="108">
                  <c:v>1049.3499999999999</c:v>
                </c:pt>
                <c:pt idx="109">
                  <c:v>1038.7</c:v>
                </c:pt>
                <c:pt idx="110">
                  <c:v>1035.8</c:v>
                </c:pt>
                <c:pt idx="111">
                  <c:v>976.3</c:v>
                </c:pt>
                <c:pt idx="112">
                  <c:v>986.15</c:v>
                </c:pt>
                <c:pt idx="113">
                  <c:v>992.1</c:v>
                </c:pt>
                <c:pt idx="114">
                  <c:v>988.4</c:v>
                </c:pt>
                <c:pt idx="115">
                  <c:v>974.95</c:v>
                </c:pt>
                <c:pt idx="116">
                  <c:v>962.05</c:v>
                </c:pt>
                <c:pt idx="117">
                  <c:v>967</c:v>
                </c:pt>
                <c:pt idx="118">
                  <c:v>970.85</c:v>
                </c:pt>
                <c:pt idx="119">
                  <c:v>971.8</c:v>
                </c:pt>
                <c:pt idx="120">
                  <c:v>977.3</c:v>
                </c:pt>
                <c:pt idx="121">
                  <c:v>963.6</c:v>
                </c:pt>
                <c:pt idx="122">
                  <c:v>993.15</c:v>
                </c:pt>
                <c:pt idx="123">
                  <c:v>993</c:v>
                </c:pt>
                <c:pt idx="124">
                  <c:v>974.65</c:v>
                </c:pt>
                <c:pt idx="125">
                  <c:v>965.2</c:v>
                </c:pt>
                <c:pt idx="126">
                  <c:v>925.7</c:v>
                </c:pt>
                <c:pt idx="127">
                  <c:v>930.75</c:v>
                </c:pt>
                <c:pt idx="128">
                  <c:v>927.85</c:v>
                </c:pt>
                <c:pt idx="129">
                  <c:v>919.8</c:v>
                </c:pt>
                <c:pt idx="130">
                  <c:v>939.15</c:v>
                </c:pt>
                <c:pt idx="131">
                  <c:v>928.5</c:v>
                </c:pt>
                <c:pt idx="132">
                  <c:v>930.7</c:v>
                </c:pt>
                <c:pt idx="133">
                  <c:v>928.25</c:v>
                </c:pt>
                <c:pt idx="134">
                  <c:v>917.3</c:v>
                </c:pt>
                <c:pt idx="135">
                  <c:v>907.45</c:v>
                </c:pt>
                <c:pt idx="136">
                  <c:v>891.6</c:v>
                </c:pt>
                <c:pt idx="137">
                  <c:v>910.15</c:v>
                </c:pt>
                <c:pt idx="138">
                  <c:v>903.3</c:v>
                </c:pt>
                <c:pt idx="139">
                  <c:v>879.5</c:v>
                </c:pt>
                <c:pt idx="140">
                  <c:v>877.65</c:v>
                </c:pt>
                <c:pt idx="141">
                  <c:v>880</c:v>
                </c:pt>
                <c:pt idx="142">
                  <c:v>864.3</c:v>
                </c:pt>
                <c:pt idx="143">
                  <c:v>878.45</c:v>
                </c:pt>
                <c:pt idx="144">
                  <c:v>842.75</c:v>
                </c:pt>
                <c:pt idx="145">
                  <c:v>840.2</c:v>
                </c:pt>
                <c:pt idx="146">
                  <c:v>834.05</c:v>
                </c:pt>
                <c:pt idx="147">
                  <c:v>843.45</c:v>
                </c:pt>
                <c:pt idx="148">
                  <c:v>824.1</c:v>
                </c:pt>
                <c:pt idx="149">
                  <c:v>835.65</c:v>
                </c:pt>
                <c:pt idx="150">
                  <c:v>839.7</c:v>
                </c:pt>
                <c:pt idx="151">
                  <c:v>819.75</c:v>
                </c:pt>
                <c:pt idx="152">
                  <c:v>805.45</c:v>
                </c:pt>
                <c:pt idx="153">
                  <c:v>804.7</c:v>
                </c:pt>
                <c:pt idx="154">
                  <c:v>784.85</c:v>
                </c:pt>
                <c:pt idx="155">
                  <c:v>786.25</c:v>
                </c:pt>
                <c:pt idx="156">
                  <c:v>774.3</c:v>
                </c:pt>
                <c:pt idx="157">
                  <c:v>771.9</c:v>
                </c:pt>
                <c:pt idx="158">
                  <c:v>783.2</c:v>
                </c:pt>
                <c:pt idx="159">
                  <c:v>773.85</c:v>
                </c:pt>
                <c:pt idx="160">
                  <c:v>791</c:v>
                </c:pt>
                <c:pt idx="161">
                  <c:v>796.6</c:v>
                </c:pt>
                <c:pt idx="162">
                  <c:v>783</c:v>
                </c:pt>
                <c:pt idx="163">
                  <c:v>783.95</c:v>
                </c:pt>
                <c:pt idx="164">
                  <c:v>779.45</c:v>
                </c:pt>
                <c:pt idx="165">
                  <c:v>786.45</c:v>
                </c:pt>
                <c:pt idx="166">
                  <c:v>790.05</c:v>
                </c:pt>
                <c:pt idx="167">
                  <c:v>801.25</c:v>
                </c:pt>
                <c:pt idx="168">
                  <c:v>788.1</c:v>
                </c:pt>
                <c:pt idx="169">
                  <c:v>792.55</c:v>
                </c:pt>
                <c:pt idx="170">
                  <c:v>816.8</c:v>
                </c:pt>
                <c:pt idx="171">
                  <c:v>798.75</c:v>
                </c:pt>
                <c:pt idx="172">
                  <c:v>799.9</c:v>
                </c:pt>
                <c:pt idx="173">
                  <c:v>799.1</c:v>
                </c:pt>
                <c:pt idx="174">
                  <c:v>786.35</c:v>
                </c:pt>
                <c:pt idx="175">
                  <c:v>790.3</c:v>
                </c:pt>
                <c:pt idx="176">
                  <c:v>784.8</c:v>
                </c:pt>
                <c:pt idx="177">
                  <c:v>779.75</c:v>
                </c:pt>
                <c:pt idx="178">
                  <c:v>755.7</c:v>
                </c:pt>
                <c:pt idx="179">
                  <c:v>744.05</c:v>
                </c:pt>
                <c:pt idx="180">
                  <c:v>724.05</c:v>
                </c:pt>
                <c:pt idx="181">
                  <c:v>722.2</c:v>
                </c:pt>
                <c:pt idx="182">
                  <c:v>736.1</c:v>
                </c:pt>
                <c:pt idx="183">
                  <c:v>740.8</c:v>
                </c:pt>
                <c:pt idx="184">
                  <c:v>750.5</c:v>
                </c:pt>
                <c:pt idx="185">
                  <c:v>733.65</c:v>
                </c:pt>
                <c:pt idx="186">
                  <c:v>740.15</c:v>
                </c:pt>
                <c:pt idx="187">
                  <c:v>749.25</c:v>
                </c:pt>
                <c:pt idx="188">
                  <c:v>765.05</c:v>
                </c:pt>
                <c:pt idx="189">
                  <c:v>790.4</c:v>
                </c:pt>
                <c:pt idx="190">
                  <c:v>776.25</c:v>
                </c:pt>
                <c:pt idx="191">
                  <c:v>793.25</c:v>
                </c:pt>
                <c:pt idx="192">
                  <c:v>794.95</c:v>
                </c:pt>
                <c:pt idx="193">
                  <c:v>780.1</c:v>
                </c:pt>
                <c:pt idx="194">
                  <c:v>774.65</c:v>
                </c:pt>
                <c:pt idx="195">
                  <c:v>751</c:v>
                </c:pt>
                <c:pt idx="196">
                  <c:v>770.5</c:v>
                </c:pt>
                <c:pt idx="197">
                  <c:v>763.6</c:v>
                </c:pt>
                <c:pt idx="198">
                  <c:v>774.35</c:v>
                </c:pt>
                <c:pt idx="199">
                  <c:v>779.75</c:v>
                </c:pt>
                <c:pt idx="200">
                  <c:v>774.35</c:v>
                </c:pt>
                <c:pt idx="201">
                  <c:v>760.75</c:v>
                </c:pt>
                <c:pt idx="202">
                  <c:v>742.75</c:v>
                </c:pt>
                <c:pt idx="203">
                  <c:v>752.5</c:v>
                </c:pt>
                <c:pt idx="204">
                  <c:v>734.1</c:v>
                </c:pt>
                <c:pt idx="205">
                  <c:v>713.05</c:v>
                </c:pt>
                <c:pt idx="206">
                  <c:v>728.25</c:v>
                </c:pt>
                <c:pt idx="207">
                  <c:v>752.5</c:v>
                </c:pt>
                <c:pt idx="208">
                  <c:v>696.85</c:v>
                </c:pt>
                <c:pt idx="209">
                  <c:v>716.1</c:v>
                </c:pt>
                <c:pt idx="210">
                  <c:v>706.55</c:v>
                </c:pt>
                <c:pt idx="211">
                  <c:v>687.45</c:v>
                </c:pt>
                <c:pt idx="212">
                  <c:v>710.55</c:v>
                </c:pt>
                <c:pt idx="213">
                  <c:v>717.05</c:v>
                </c:pt>
                <c:pt idx="214">
                  <c:v>709.65</c:v>
                </c:pt>
                <c:pt idx="215">
                  <c:v>706.75</c:v>
                </c:pt>
                <c:pt idx="216">
                  <c:v>696</c:v>
                </c:pt>
                <c:pt idx="217">
                  <c:v>677.75</c:v>
                </c:pt>
                <c:pt idx="218">
                  <c:v>684.35</c:v>
                </c:pt>
                <c:pt idx="219">
                  <c:v>683.85</c:v>
                </c:pt>
                <c:pt idx="220">
                  <c:v>680.65</c:v>
                </c:pt>
                <c:pt idx="221">
                  <c:v>686.6</c:v>
                </c:pt>
                <c:pt idx="222">
                  <c:v>682.4</c:v>
                </c:pt>
                <c:pt idx="223">
                  <c:v>681</c:v>
                </c:pt>
                <c:pt idx="224">
                  <c:v>689.8</c:v>
                </c:pt>
                <c:pt idx="225">
                  <c:v>673.2</c:v>
                </c:pt>
                <c:pt idx="226">
                  <c:v>668.25</c:v>
                </c:pt>
                <c:pt idx="227">
                  <c:v>661.6</c:v>
                </c:pt>
                <c:pt idx="228">
                  <c:v>648.54999999999995</c:v>
                </c:pt>
                <c:pt idx="229">
                  <c:v>620.65</c:v>
                </c:pt>
                <c:pt idx="230">
                  <c:v>621.15</c:v>
                </c:pt>
                <c:pt idx="231">
                  <c:v>619.20000000000005</c:v>
                </c:pt>
                <c:pt idx="232">
                  <c:v>640.79999999999995</c:v>
                </c:pt>
                <c:pt idx="233">
                  <c:v>639.65</c:v>
                </c:pt>
                <c:pt idx="234">
                  <c:v>648.29999999999995</c:v>
                </c:pt>
                <c:pt idx="235">
                  <c:v>648.15</c:v>
                </c:pt>
                <c:pt idx="236">
                  <c:v>648.04999999999995</c:v>
                </c:pt>
                <c:pt idx="237">
                  <c:v>668.3</c:v>
                </c:pt>
                <c:pt idx="238">
                  <c:v>655.5</c:v>
                </c:pt>
                <c:pt idx="239">
                  <c:v>661.05</c:v>
                </c:pt>
                <c:pt idx="240">
                  <c:v>680.05</c:v>
                </c:pt>
                <c:pt idx="241">
                  <c:v>682.25</c:v>
                </c:pt>
                <c:pt idx="242">
                  <c:v>690.05</c:v>
                </c:pt>
                <c:pt idx="243">
                  <c:v>702.95</c:v>
                </c:pt>
                <c:pt idx="244">
                  <c:v>713.5</c:v>
                </c:pt>
                <c:pt idx="245">
                  <c:v>710.3</c:v>
                </c:pt>
                <c:pt idx="246">
                  <c:v>708.25</c:v>
                </c:pt>
                <c:pt idx="247">
                  <c:v>668.55</c:v>
                </c:pt>
                <c:pt idx="248">
                  <c:v>674.45</c:v>
                </c:pt>
              </c:numCache>
            </c:numRef>
          </c:val>
          <c:smooth val="0"/>
          <c:extLst>
            <c:ext xmlns:c16="http://schemas.microsoft.com/office/drawing/2014/chart" uri="{C3380CC4-5D6E-409C-BE32-E72D297353CC}">
              <c16:uniqueId val="{00000000-50C0-401F-BB7C-E23EE17A1C8C}"/>
            </c:ext>
          </c:extLst>
        </c:ser>
        <c:dLbls>
          <c:showLegendKey val="0"/>
          <c:showVal val="0"/>
          <c:showCatName val="0"/>
          <c:showSerName val="0"/>
          <c:showPercent val="0"/>
          <c:showBubbleSize val="0"/>
        </c:dLbls>
        <c:marker val="1"/>
        <c:smooth val="0"/>
        <c:axId val="991452528"/>
        <c:axId val="991444848"/>
      </c:lineChart>
      <c:catAx>
        <c:axId val="99145252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91444848"/>
        <c:crosses val="autoZero"/>
        <c:auto val="1"/>
        <c:lblAlgn val="ctr"/>
        <c:lblOffset val="100"/>
        <c:noMultiLvlLbl val="0"/>
      </c:catAx>
      <c:valAx>
        <c:axId val="99144484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91452528"/>
        <c:crosses val="autoZero"/>
        <c:crossBetween val="between"/>
      </c:valAx>
      <c:spPr>
        <a:noFill/>
        <a:ln>
          <a:noFill/>
        </a:ln>
        <a:effectLst/>
      </c:spPr>
    </c:plotArea>
    <c:legend>
      <c:legendPos val="r"/>
      <c:overlay val="0"/>
      <c:spPr>
        <a:noFill/>
        <a:ln>
          <a:solidFill>
            <a:schemeClr val="accent1"/>
          </a:solid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[Stock 1.xlsx]PT_Monthly!PivotTable3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Monthly VWAP and Volume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PT_Monthly!$B$3</c:f>
              <c:strCache>
                <c:ptCount val="1"/>
                <c:pt idx="0">
                  <c:v>Average of vwap </c:v>
                </c:pt>
              </c:strCache>
            </c:strRef>
          </c:tx>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PT_Monthly!$A$4:$A$15</c:f>
              <c:strCache>
                <c:ptCount val="12"/>
                <c:pt idx="0">
                  <c:v>May</c:v>
                </c:pt>
                <c:pt idx="1">
                  <c:v>Mar</c:v>
                </c:pt>
                <c:pt idx="2">
                  <c:v>Feb</c:v>
                </c:pt>
                <c:pt idx="3">
                  <c:v>Jan</c:v>
                </c:pt>
                <c:pt idx="4">
                  <c:v>Dec</c:v>
                </c:pt>
                <c:pt idx="5">
                  <c:v>Nov</c:v>
                </c:pt>
                <c:pt idx="6">
                  <c:v>Oct</c:v>
                </c:pt>
                <c:pt idx="7">
                  <c:v>Sep</c:v>
                </c:pt>
                <c:pt idx="8">
                  <c:v>Aug</c:v>
                </c:pt>
                <c:pt idx="9">
                  <c:v>Jul</c:v>
                </c:pt>
                <c:pt idx="10">
                  <c:v>Jun</c:v>
                </c:pt>
                <c:pt idx="11">
                  <c:v>Apr</c:v>
                </c:pt>
              </c:strCache>
            </c:strRef>
          </c:cat>
          <c:val>
            <c:numRef>
              <c:f>PT_Monthly!$B$4:$B$15</c:f>
              <c:numCache>
                <c:formatCode>0.00</c:formatCode>
                <c:ptCount val="12"/>
                <c:pt idx="0">
                  <c:v>968.14590909090907</c:v>
                </c:pt>
                <c:pt idx="1">
                  <c:v>669.41000000000008</c:v>
                </c:pt>
                <c:pt idx="2">
                  <c:v>680.44800000000009</c:v>
                </c:pt>
                <c:pt idx="3">
                  <c:v>766.89458333333334</c:v>
                </c:pt>
                <c:pt idx="4">
                  <c:v>769.74571428571414</c:v>
                </c:pt>
                <c:pt idx="5">
                  <c:v>797.63157894736855</c:v>
                </c:pt>
                <c:pt idx="6">
                  <c:v>897.42227272727257</c:v>
                </c:pt>
                <c:pt idx="7">
                  <c:v>1001.3790476190474</c:v>
                </c:pt>
                <c:pt idx="8">
                  <c:v>1075.2166666666667</c:v>
                </c:pt>
                <c:pt idx="9">
                  <c:v>1039.8268181818182</c:v>
                </c:pt>
                <c:pt idx="10">
                  <c:v>968.132105263158</c:v>
                </c:pt>
                <c:pt idx="11">
                  <c:v>1000.4515000000001</c:v>
                </c:pt>
              </c:numCache>
            </c:numRef>
          </c:val>
          <c:extLst>
            <c:ext xmlns:c16="http://schemas.microsoft.com/office/drawing/2014/chart" uri="{C3380CC4-5D6E-409C-BE32-E72D297353CC}">
              <c16:uniqueId val="{00000002-099D-47E3-823B-A31306079913}"/>
            </c:ext>
          </c:extLst>
        </c:ser>
        <c:ser>
          <c:idx val="1"/>
          <c:order val="1"/>
          <c:tx>
            <c:strRef>
              <c:f>PT_Monthly!$C$3</c:f>
              <c:strCache>
                <c:ptCount val="1"/>
                <c:pt idx="0">
                  <c:v>Sum of VOLUME </c:v>
                </c:pt>
              </c:strCache>
            </c:strRef>
          </c:tx>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invertIfNegative val="0"/>
          <c:cat>
            <c:strRef>
              <c:f>PT_Monthly!$A$4:$A$15</c:f>
              <c:strCache>
                <c:ptCount val="12"/>
                <c:pt idx="0">
                  <c:v>May</c:v>
                </c:pt>
                <c:pt idx="1">
                  <c:v>Mar</c:v>
                </c:pt>
                <c:pt idx="2">
                  <c:v>Feb</c:v>
                </c:pt>
                <c:pt idx="3">
                  <c:v>Jan</c:v>
                </c:pt>
                <c:pt idx="4">
                  <c:v>Dec</c:v>
                </c:pt>
                <c:pt idx="5">
                  <c:v>Nov</c:v>
                </c:pt>
                <c:pt idx="6">
                  <c:v>Oct</c:v>
                </c:pt>
                <c:pt idx="7">
                  <c:v>Sep</c:v>
                </c:pt>
                <c:pt idx="8">
                  <c:v>Aug</c:v>
                </c:pt>
                <c:pt idx="9">
                  <c:v>Jul</c:v>
                </c:pt>
                <c:pt idx="10">
                  <c:v>Jun</c:v>
                </c:pt>
                <c:pt idx="11">
                  <c:v>Apr</c:v>
                </c:pt>
              </c:strCache>
            </c:strRef>
          </c:cat>
          <c:val>
            <c:numRef>
              <c:f>PT_Monthly!$C$4:$C$15</c:f>
              <c:numCache>
                <c:formatCode>0.00</c:formatCode>
                <c:ptCount val="12"/>
                <c:pt idx="0">
                  <c:v>306757650</c:v>
                </c:pt>
                <c:pt idx="1">
                  <c:v>243136629</c:v>
                </c:pt>
                <c:pt idx="2">
                  <c:v>245072016</c:v>
                </c:pt>
                <c:pt idx="3">
                  <c:v>358730064</c:v>
                </c:pt>
                <c:pt idx="4">
                  <c:v>269472023</c:v>
                </c:pt>
                <c:pt idx="5">
                  <c:v>261187086</c:v>
                </c:pt>
                <c:pt idx="6">
                  <c:v>267645566</c:v>
                </c:pt>
                <c:pt idx="7">
                  <c:v>298426836</c:v>
                </c:pt>
                <c:pt idx="8">
                  <c:v>278523881</c:v>
                </c:pt>
                <c:pt idx="9">
                  <c:v>272827239</c:v>
                </c:pt>
                <c:pt idx="10">
                  <c:v>249381507</c:v>
                </c:pt>
                <c:pt idx="11">
                  <c:v>173343316</c:v>
                </c:pt>
              </c:numCache>
            </c:numRef>
          </c:val>
          <c:extLst>
            <c:ext xmlns:c16="http://schemas.microsoft.com/office/drawing/2014/chart" uri="{C3380CC4-5D6E-409C-BE32-E72D297353CC}">
              <c16:uniqueId val="{00000003-099D-47E3-823B-A31306079913}"/>
            </c:ext>
          </c:extLst>
        </c:ser>
        <c:dLbls>
          <c:showLegendKey val="0"/>
          <c:showVal val="0"/>
          <c:showCatName val="0"/>
          <c:showSerName val="0"/>
          <c:showPercent val="0"/>
          <c:showBubbleSize val="0"/>
        </c:dLbls>
        <c:gapWidth val="150"/>
        <c:axId val="908083984"/>
        <c:axId val="908085424"/>
      </c:barChart>
      <c:catAx>
        <c:axId val="9080839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8085424"/>
        <c:crosses val="autoZero"/>
        <c:auto val="1"/>
        <c:lblAlgn val="ctr"/>
        <c:lblOffset val="100"/>
        <c:noMultiLvlLbl val="0"/>
      </c:catAx>
      <c:valAx>
        <c:axId val="908085424"/>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8083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[Stock 1.xlsx]PT_52WeekHighLow!PivotTable1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Quarterly 52-Week High vs Low</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8000"/>
                  <a:satMod val="103000"/>
                  <a:lumMod val="102000"/>
                  <a:tint val="94000"/>
                </a:schemeClr>
              </a:gs>
              <a:gs pos="50000">
                <a:schemeClr val="accent1">
                  <a:shade val="58000"/>
                  <a:satMod val="110000"/>
                  <a:lumMod val="100000"/>
                  <a:shade val="100000"/>
                </a:schemeClr>
              </a:gs>
              <a:gs pos="100000">
                <a:schemeClr val="accent1">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hade val="58000"/>
                  <a:satMod val="103000"/>
                  <a:lumMod val="102000"/>
                  <a:tint val="94000"/>
                </a:schemeClr>
              </a:gs>
              <a:gs pos="50000">
                <a:schemeClr val="accent1">
                  <a:shade val="58000"/>
                  <a:satMod val="110000"/>
                  <a:lumMod val="100000"/>
                  <a:shade val="100000"/>
                </a:schemeClr>
              </a:gs>
              <a:gs pos="100000">
                <a:schemeClr val="accent1">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hade val="86000"/>
                  <a:satMod val="103000"/>
                  <a:lumMod val="102000"/>
                  <a:tint val="94000"/>
                </a:schemeClr>
              </a:gs>
              <a:gs pos="50000">
                <a:schemeClr val="accent1">
                  <a:shade val="86000"/>
                  <a:satMod val="110000"/>
                  <a:lumMod val="100000"/>
                  <a:shade val="100000"/>
                </a:schemeClr>
              </a:gs>
              <a:gs pos="100000">
                <a:schemeClr val="accent1">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tint val="86000"/>
                  <a:satMod val="103000"/>
                  <a:lumMod val="102000"/>
                  <a:tint val="94000"/>
                </a:schemeClr>
              </a:gs>
              <a:gs pos="50000">
                <a:schemeClr val="accent1">
                  <a:tint val="86000"/>
                  <a:satMod val="110000"/>
                  <a:lumMod val="100000"/>
                  <a:shade val="100000"/>
                </a:schemeClr>
              </a:gs>
              <a:gs pos="100000">
                <a:schemeClr val="accent1">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tint val="58000"/>
                  <a:satMod val="103000"/>
                  <a:lumMod val="102000"/>
                  <a:tint val="94000"/>
                </a:schemeClr>
              </a:gs>
              <a:gs pos="50000">
                <a:schemeClr val="accent1">
                  <a:tint val="58000"/>
                  <a:satMod val="110000"/>
                  <a:lumMod val="100000"/>
                  <a:shade val="100000"/>
                </a:schemeClr>
              </a:gs>
              <a:gs pos="100000">
                <a:schemeClr val="accent1">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hade val="86000"/>
                  <a:satMod val="103000"/>
                  <a:lumMod val="102000"/>
                  <a:tint val="94000"/>
                </a:schemeClr>
              </a:gs>
              <a:gs pos="50000">
                <a:schemeClr val="accent1">
                  <a:shade val="86000"/>
                  <a:satMod val="110000"/>
                  <a:lumMod val="100000"/>
                  <a:shade val="100000"/>
                </a:schemeClr>
              </a:gs>
              <a:gs pos="100000">
                <a:schemeClr val="accent1">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tint val="86000"/>
                  <a:satMod val="103000"/>
                  <a:lumMod val="102000"/>
                  <a:tint val="94000"/>
                </a:schemeClr>
              </a:gs>
              <a:gs pos="50000">
                <a:schemeClr val="accent1">
                  <a:tint val="86000"/>
                  <a:satMod val="110000"/>
                  <a:lumMod val="100000"/>
                  <a:shade val="100000"/>
                </a:schemeClr>
              </a:gs>
              <a:gs pos="100000">
                <a:schemeClr val="accent1">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tint val="58000"/>
                  <a:satMod val="103000"/>
                  <a:lumMod val="102000"/>
                  <a:tint val="94000"/>
                </a:schemeClr>
              </a:gs>
              <a:gs pos="50000">
                <a:schemeClr val="accent1">
                  <a:tint val="58000"/>
                  <a:satMod val="110000"/>
                  <a:lumMod val="100000"/>
                  <a:shade val="100000"/>
                </a:schemeClr>
              </a:gs>
              <a:gs pos="100000">
                <a:schemeClr val="accent1">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PT_52WeekHighLow!$B$3</c:f>
              <c:strCache>
                <c:ptCount val="1"/>
                <c:pt idx="0">
                  <c:v>Sum of 52W L </c:v>
                </c:pt>
              </c:strCache>
            </c:strRef>
          </c:tx>
          <c:dPt>
            <c:idx val="0"/>
            <c:bubble3D val="0"/>
            <c:spPr>
              <a:gradFill rotWithShape="1">
                <a:gsLst>
                  <a:gs pos="0">
                    <a:schemeClr val="accent1">
                      <a:shade val="58000"/>
                      <a:satMod val="103000"/>
                      <a:lumMod val="102000"/>
                      <a:tint val="94000"/>
                    </a:schemeClr>
                  </a:gs>
                  <a:gs pos="50000">
                    <a:schemeClr val="accent1">
                      <a:shade val="58000"/>
                      <a:satMod val="110000"/>
                      <a:lumMod val="100000"/>
                      <a:shade val="100000"/>
                    </a:schemeClr>
                  </a:gs>
                  <a:gs pos="100000">
                    <a:schemeClr val="accent1">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ABC-43BC-9FAA-8C484DBF94DB}"/>
              </c:ext>
            </c:extLst>
          </c:dPt>
          <c:dPt>
            <c:idx val="1"/>
            <c:bubble3D val="0"/>
            <c:spPr>
              <a:gradFill rotWithShape="1">
                <a:gsLst>
                  <a:gs pos="0">
                    <a:schemeClr val="accent1">
                      <a:shade val="86000"/>
                      <a:satMod val="103000"/>
                      <a:lumMod val="102000"/>
                      <a:tint val="94000"/>
                    </a:schemeClr>
                  </a:gs>
                  <a:gs pos="50000">
                    <a:schemeClr val="accent1">
                      <a:shade val="86000"/>
                      <a:satMod val="110000"/>
                      <a:lumMod val="100000"/>
                      <a:shade val="100000"/>
                    </a:schemeClr>
                  </a:gs>
                  <a:gs pos="100000">
                    <a:schemeClr val="accent1">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ABC-43BC-9FAA-8C484DBF94DB}"/>
              </c:ext>
            </c:extLst>
          </c:dPt>
          <c:dPt>
            <c:idx val="2"/>
            <c:bubble3D val="0"/>
            <c:spPr>
              <a:gradFill rotWithShape="1">
                <a:gsLst>
                  <a:gs pos="0">
                    <a:schemeClr val="accent1">
                      <a:tint val="86000"/>
                      <a:satMod val="103000"/>
                      <a:lumMod val="102000"/>
                      <a:tint val="94000"/>
                    </a:schemeClr>
                  </a:gs>
                  <a:gs pos="50000">
                    <a:schemeClr val="accent1">
                      <a:tint val="86000"/>
                      <a:satMod val="110000"/>
                      <a:lumMod val="100000"/>
                      <a:shade val="100000"/>
                    </a:schemeClr>
                  </a:gs>
                  <a:gs pos="100000">
                    <a:schemeClr val="accent1">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ABC-43BC-9FAA-8C484DBF94DB}"/>
              </c:ext>
            </c:extLst>
          </c:dPt>
          <c:dPt>
            <c:idx val="3"/>
            <c:bubble3D val="0"/>
            <c:spPr>
              <a:gradFill rotWithShape="1">
                <a:gsLst>
                  <a:gs pos="0">
                    <a:schemeClr val="accent1">
                      <a:tint val="58000"/>
                      <a:satMod val="103000"/>
                      <a:lumMod val="102000"/>
                      <a:tint val="94000"/>
                    </a:schemeClr>
                  </a:gs>
                  <a:gs pos="50000">
                    <a:schemeClr val="accent1">
                      <a:tint val="58000"/>
                      <a:satMod val="110000"/>
                      <a:lumMod val="100000"/>
                      <a:shade val="100000"/>
                    </a:schemeClr>
                  </a:gs>
                  <a:gs pos="100000">
                    <a:schemeClr val="accent1">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1ABC-43BC-9FAA-8C484DBF94D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PT_52WeekHighLow!$A$4:$A$8</c:f>
              <c:strCache>
                <c:ptCount val="4"/>
                <c:pt idx="0">
                  <c:v>Q1</c:v>
                </c:pt>
                <c:pt idx="1">
                  <c:v>Q2</c:v>
                </c:pt>
                <c:pt idx="2">
                  <c:v>Q3</c:v>
                </c:pt>
                <c:pt idx="3">
                  <c:v>Q4</c:v>
                </c:pt>
              </c:strCache>
            </c:strRef>
          </c:cat>
          <c:val>
            <c:numRef>
              <c:f>PT_52WeekHighLow!$B$4:$B$8</c:f>
              <c:numCache>
                <c:formatCode>0.00</c:formatCode>
                <c:ptCount val="4"/>
                <c:pt idx="0">
                  <c:v>41312.999999999971</c:v>
                </c:pt>
                <c:pt idx="1">
                  <c:v>30543.59999999998</c:v>
                </c:pt>
                <c:pt idx="2">
                  <c:v>38259.699999999975</c:v>
                </c:pt>
                <c:pt idx="3">
                  <c:v>40827.449999999983</c:v>
                </c:pt>
              </c:numCache>
            </c:numRef>
          </c:val>
          <c:extLst>
            <c:ext xmlns:c16="http://schemas.microsoft.com/office/drawing/2014/chart" uri="{C3380CC4-5D6E-409C-BE32-E72D297353CC}">
              <c16:uniqueId val="{00000003-D4C1-4CC7-A333-51F7617DFA5F}"/>
            </c:ext>
          </c:extLst>
        </c:ser>
        <c:ser>
          <c:idx val="1"/>
          <c:order val="1"/>
          <c:tx>
            <c:strRef>
              <c:f>PT_52WeekHighLow!$C$3</c:f>
              <c:strCache>
                <c:ptCount val="1"/>
                <c:pt idx="0">
                  <c:v>Sum of 52W H </c:v>
                </c:pt>
              </c:strCache>
            </c:strRef>
          </c:tx>
          <c:dPt>
            <c:idx val="0"/>
            <c:bubble3D val="0"/>
            <c:spPr>
              <a:gradFill rotWithShape="1">
                <a:gsLst>
                  <a:gs pos="0">
                    <a:schemeClr val="accent1">
                      <a:shade val="58000"/>
                      <a:satMod val="103000"/>
                      <a:lumMod val="102000"/>
                      <a:tint val="94000"/>
                    </a:schemeClr>
                  </a:gs>
                  <a:gs pos="50000">
                    <a:schemeClr val="accent1">
                      <a:shade val="58000"/>
                      <a:satMod val="110000"/>
                      <a:lumMod val="100000"/>
                      <a:shade val="100000"/>
                    </a:schemeClr>
                  </a:gs>
                  <a:gs pos="100000">
                    <a:schemeClr val="accent1">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1ABC-43BC-9FAA-8C484DBF94DB}"/>
              </c:ext>
            </c:extLst>
          </c:dPt>
          <c:dPt>
            <c:idx val="1"/>
            <c:bubble3D val="0"/>
            <c:spPr>
              <a:gradFill rotWithShape="1">
                <a:gsLst>
                  <a:gs pos="0">
                    <a:schemeClr val="accent1">
                      <a:shade val="86000"/>
                      <a:satMod val="103000"/>
                      <a:lumMod val="102000"/>
                      <a:tint val="94000"/>
                    </a:schemeClr>
                  </a:gs>
                  <a:gs pos="50000">
                    <a:schemeClr val="accent1">
                      <a:shade val="86000"/>
                      <a:satMod val="110000"/>
                      <a:lumMod val="100000"/>
                      <a:shade val="100000"/>
                    </a:schemeClr>
                  </a:gs>
                  <a:gs pos="100000">
                    <a:schemeClr val="accent1">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1ABC-43BC-9FAA-8C484DBF94DB}"/>
              </c:ext>
            </c:extLst>
          </c:dPt>
          <c:dPt>
            <c:idx val="2"/>
            <c:bubble3D val="0"/>
            <c:spPr>
              <a:gradFill rotWithShape="1">
                <a:gsLst>
                  <a:gs pos="0">
                    <a:schemeClr val="accent1">
                      <a:tint val="86000"/>
                      <a:satMod val="103000"/>
                      <a:lumMod val="102000"/>
                      <a:tint val="94000"/>
                    </a:schemeClr>
                  </a:gs>
                  <a:gs pos="50000">
                    <a:schemeClr val="accent1">
                      <a:tint val="86000"/>
                      <a:satMod val="110000"/>
                      <a:lumMod val="100000"/>
                      <a:shade val="100000"/>
                    </a:schemeClr>
                  </a:gs>
                  <a:gs pos="100000">
                    <a:schemeClr val="accent1">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1ABC-43BC-9FAA-8C484DBF94DB}"/>
              </c:ext>
            </c:extLst>
          </c:dPt>
          <c:dPt>
            <c:idx val="3"/>
            <c:bubble3D val="0"/>
            <c:spPr>
              <a:gradFill rotWithShape="1">
                <a:gsLst>
                  <a:gs pos="0">
                    <a:schemeClr val="accent1">
                      <a:tint val="58000"/>
                      <a:satMod val="103000"/>
                      <a:lumMod val="102000"/>
                      <a:tint val="94000"/>
                    </a:schemeClr>
                  </a:gs>
                  <a:gs pos="50000">
                    <a:schemeClr val="accent1">
                      <a:tint val="58000"/>
                      <a:satMod val="110000"/>
                      <a:lumMod val="100000"/>
                      <a:shade val="100000"/>
                    </a:schemeClr>
                  </a:gs>
                  <a:gs pos="100000">
                    <a:schemeClr val="accent1">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1ABC-43BC-9FAA-8C484DBF94D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PT_52WeekHighLow!$A$4:$A$8</c:f>
              <c:strCache>
                <c:ptCount val="4"/>
                <c:pt idx="0">
                  <c:v>Q1</c:v>
                </c:pt>
                <c:pt idx="1">
                  <c:v>Q2</c:v>
                </c:pt>
                <c:pt idx="2">
                  <c:v>Q3</c:v>
                </c:pt>
                <c:pt idx="3">
                  <c:v>Q4</c:v>
                </c:pt>
              </c:strCache>
            </c:strRef>
          </c:cat>
          <c:val>
            <c:numRef>
              <c:f>PT_52WeekHighLow!$C$4:$C$8</c:f>
              <c:numCache>
                <c:formatCode>0.00</c:formatCode>
                <c:ptCount val="4"/>
                <c:pt idx="0">
                  <c:v>73098</c:v>
                </c:pt>
                <c:pt idx="1">
                  <c:v>65001.59999999994</c:v>
                </c:pt>
                <c:pt idx="2">
                  <c:v>73345.600000000035</c:v>
                </c:pt>
                <c:pt idx="3">
                  <c:v>73098</c:v>
                </c:pt>
              </c:numCache>
            </c:numRef>
          </c:val>
          <c:extLst>
            <c:ext xmlns:c16="http://schemas.microsoft.com/office/drawing/2014/chart" uri="{C3380CC4-5D6E-409C-BE32-E72D297353CC}">
              <c16:uniqueId val="{00000004-D4C1-4CC7-A333-51F7617DFA5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[Stock 1.xlsx]Volume_Month!PivotTable1</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IN" b="1" baseline="0">
                <a:solidFill>
                  <a:schemeClr val="bg1"/>
                </a:solidFill>
              </a:rPr>
              <a:t>"Volume Distribution by Month"</a:t>
            </a:r>
            <a:endParaRPr lang="en-IN" baseline="0">
              <a:solidFill>
                <a:schemeClr val="bg1"/>
              </a:solidFill>
            </a:endParaRPr>
          </a:p>
          <a:p>
            <a:pPr marL="0" marR="0" lvl="0" indent="0" algn="ctr" defTabSz="914400" rtl="0" eaLnBrk="1" fontAlgn="auto" latinLnBrk="0" hangingPunct="1">
              <a:lnSpc>
                <a:spcPct val="100000"/>
              </a:lnSpc>
              <a:spcBef>
                <a:spcPts val="0"/>
              </a:spcBef>
              <a:spcAft>
                <a:spcPts val="0"/>
              </a:spcAft>
              <a:buClrTx/>
              <a:buSzTx/>
              <a:buFontTx/>
              <a:buNone/>
              <a:tabLst/>
              <a:defRPr>
                <a:solidFill>
                  <a:schemeClr val="bg1"/>
                </a:solidFill>
              </a:defRPr>
            </a:pPr>
            <a:endParaRPr lang="en-US" baseline="0">
              <a:solidFill>
                <a:schemeClr val="bg1"/>
              </a:solidFill>
            </a:endParaRPr>
          </a:p>
        </c:rich>
      </c:tx>
      <c:layout>
        <c:manualLayout>
          <c:xMode val="edge"/>
          <c:yMode val="edge"/>
          <c:x val="0.15968744531933507"/>
          <c:y val="0.10083114610673666"/>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40000"/>
                  <a:satMod val="103000"/>
                  <a:lumMod val="102000"/>
                  <a:tint val="94000"/>
                </a:schemeClr>
              </a:gs>
              <a:gs pos="50000">
                <a:schemeClr val="accent1">
                  <a:shade val="40000"/>
                  <a:satMod val="110000"/>
                  <a:lumMod val="100000"/>
                  <a:shade val="100000"/>
                </a:schemeClr>
              </a:gs>
              <a:gs pos="100000">
                <a:schemeClr val="accent1">
                  <a:shade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hade val="51000"/>
                  <a:satMod val="103000"/>
                  <a:lumMod val="102000"/>
                  <a:tint val="94000"/>
                </a:schemeClr>
              </a:gs>
              <a:gs pos="50000">
                <a:schemeClr val="accent1">
                  <a:shade val="51000"/>
                  <a:satMod val="110000"/>
                  <a:lumMod val="100000"/>
                  <a:shade val="100000"/>
                </a:schemeClr>
              </a:gs>
              <a:gs pos="100000">
                <a:schemeClr val="accent1">
                  <a:shade val="51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hade val="62000"/>
                  <a:satMod val="103000"/>
                  <a:lumMod val="102000"/>
                  <a:tint val="94000"/>
                </a:schemeClr>
              </a:gs>
              <a:gs pos="50000">
                <a:schemeClr val="accent1">
                  <a:shade val="62000"/>
                  <a:satMod val="110000"/>
                  <a:lumMod val="100000"/>
                  <a:shade val="100000"/>
                </a:schemeClr>
              </a:gs>
              <a:gs pos="100000">
                <a:schemeClr val="accent1">
                  <a:shade val="62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hade val="73000"/>
                  <a:satMod val="103000"/>
                  <a:lumMod val="102000"/>
                  <a:tint val="94000"/>
                </a:schemeClr>
              </a:gs>
              <a:gs pos="50000">
                <a:schemeClr val="accent1">
                  <a:shade val="73000"/>
                  <a:satMod val="110000"/>
                  <a:lumMod val="100000"/>
                  <a:shade val="100000"/>
                </a:schemeClr>
              </a:gs>
              <a:gs pos="100000">
                <a:schemeClr val="accent1">
                  <a:shade val="73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hade val="94000"/>
                  <a:satMod val="103000"/>
                  <a:lumMod val="102000"/>
                  <a:tint val="94000"/>
                </a:schemeClr>
              </a:gs>
              <a:gs pos="50000">
                <a:schemeClr val="accent1">
                  <a:shade val="94000"/>
                  <a:satMod val="110000"/>
                  <a:lumMod val="100000"/>
                  <a:shade val="100000"/>
                </a:schemeClr>
              </a:gs>
              <a:gs pos="100000">
                <a:schemeClr val="accent1">
                  <a:shade val="94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tint val="95000"/>
                  <a:satMod val="103000"/>
                  <a:lumMod val="102000"/>
                  <a:tint val="94000"/>
                </a:schemeClr>
              </a:gs>
              <a:gs pos="50000">
                <a:schemeClr val="accent1">
                  <a:tint val="95000"/>
                  <a:satMod val="110000"/>
                  <a:lumMod val="100000"/>
                  <a:shade val="100000"/>
                </a:schemeClr>
              </a:gs>
              <a:gs pos="100000">
                <a:schemeClr val="accent1">
                  <a:tint val="9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tint val="84000"/>
                  <a:satMod val="103000"/>
                  <a:lumMod val="102000"/>
                  <a:tint val="94000"/>
                </a:schemeClr>
              </a:gs>
              <a:gs pos="50000">
                <a:schemeClr val="accent1">
                  <a:tint val="84000"/>
                  <a:satMod val="110000"/>
                  <a:lumMod val="100000"/>
                  <a:shade val="100000"/>
                </a:schemeClr>
              </a:gs>
              <a:gs pos="100000">
                <a:schemeClr val="accent1">
                  <a:tint val="84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tint val="74000"/>
                  <a:satMod val="103000"/>
                  <a:lumMod val="102000"/>
                  <a:tint val="94000"/>
                </a:schemeClr>
              </a:gs>
              <a:gs pos="50000">
                <a:schemeClr val="accent1">
                  <a:tint val="74000"/>
                  <a:satMod val="110000"/>
                  <a:lumMod val="100000"/>
                  <a:shade val="100000"/>
                </a:schemeClr>
              </a:gs>
              <a:gs pos="100000">
                <a:schemeClr val="accent1">
                  <a:tint val="74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tint val="63000"/>
                  <a:satMod val="103000"/>
                  <a:lumMod val="102000"/>
                  <a:tint val="94000"/>
                </a:schemeClr>
              </a:gs>
              <a:gs pos="50000">
                <a:schemeClr val="accent1">
                  <a:tint val="63000"/>
                  <a:satMod val="110000"/>
                  <a:lumMod val="100000"/>
                  <a:shade val="100000"/>
                </a:schemeClr>
              </a:gs>
              <a:gs pos="100000">
                <a:schemeClr val="accent1">
                  <a:tint val="63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tint val="52000"/>
                  <a:satMod val="103000"/>
                  <a:lumMod val="102000"/>
                  <a:tint val="94000"/>
                </a:schemeClr>
              </a:gs>
              <a:gs pos="50000">
                <a:schemeClr val="accent1">
                  <a:tint val="52000"/>
                  <a:satMod val="110000"/>
                  <a:lumMod val="100000"/>
                  <a:shade val="100000"/>
                </a:schemeClr>
              </a:gs>
              <a:gs pos="100000">
                <a:schemeClr val="accent1">
                  <a:tint val="52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tint val="41000"/>
                  <a:satMod val="103000"/>
                  <a:lumMod val="102000"/>
                  <a:tint val="94000"/>
                </a:schemeClr>
              </a:gs>
              <a:gs pos="50000">
                <a:schemeClr val="accent1">
                  <a:tint val="41000"/>
                  <a:satMod val="110000"/>
                  <a:lumMod val="100000"/>
                  <a:shade val="100000"/>
                </a:schemeClr>
              </a:gs>
              <a:gs pos="100000">
                <a:schemeClr val="accent1">
                  <a:tint val="41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barChart>
        <c:barDir val="bar"/>
        <c:grouping val="stacked"/>
        <c:varyColors val="0"/>
        <c:ser>
          <c:idx val="0"/>
          <c:order val="0"/>
          <c:tx>
            <c:strRef>
              <c:f>Volume_Month!$B$3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Volume_Month!$A$4:$A$15</c:f>
              <c:strCache>
                <c:ptCount val="12"/>
                <c:pt idx="0">
                  <c:v>May</c:v>
                </c:pt>
                <c:pt idx="1">
                  <c:v>Mar</c:v>
                </c:pt>
                <c:pt idx="2">
                  <c:v>Feb</c:v>
                </c:pt>
                <c:pt idx="3">
                  <c:v>Jan</c:v>
                </c:pt>
                <c:pt idx="4">
                  <c:v>Dec</c:v>
                </c:pt>
                <c:pt idx="5">
                  <c:v>Nov</c:v>
                </c:pt>
                <c:pt idx="6">
                  <c:v>Oct</c:v>
                </c:pt>
                <c:pt idx="7">
                  <c:v>Sep</c:v>
                </c:pt>
                <c:pt idx="8">
                  <c:v>Aug</c:v>
                </c:pt>
                <c:pt idx="9">
                  <c:v>Jul</c:v>
                </c:pt>
                <c:pt idx="10">
                  <c:v>Jun</c:v>
                </c:pt>
                <c:pt idx="11">
                  <c:v>Apr</c:v>
                </c:pt>
              </c:strCache>
            </c:strRef>
          </c:cat>
          <c:val>
            <c:numRef>
              <c:f>Volume_Month!$B$4:$B$15</c:f>
              <c:numCache>
                <c:formatCode>0.00</c:formatCode>
                <c:ptCount val="12"/>
                <c:pt idx="0">
                  <c:v>306757650</c:v>
                </c:pt>
                <c:pt idx="1">
                  <c:v>243136629</c:v>
                </c:pt>
                <c:pt idx="2">
                  <c:v>245072016</c:v>
                </c:pt>
                <c:pt idx="3">
                  <c:v>358730064</c:v>
                </c:pt>
                <c:pt idx="4">
                  <c:v>269472023</c:v>
                </c:pt>
                <c:pt idx="5">
                  <c:v>261187086</c:v>
                </c:pt>
                <c:pt idx="6">
                  <c:v>267645566</c:v>
                </c:pt>
                <c:pt idx="7">
                  <c:v>298426836</c:v>
                </c:pt>
                <c:pt idx="8">
                  <c:v>278523881</c:v>
                </c:pt>
                <c:pt idx="9">
                  <c:v>272827239</c:v>
                </c:pt>
                <c:pt idx="10">
                  <c:v>249381507</c:v>
                </c:pt>
                <c:pt idx="11">
                  <c:v>173343316</c:v>
                </c:pt>
              </c:numCache>
            </c:numRef>
          </c:val>
          <c:extLst>
            <c:ext xmlns:c16="http://schemas.microsoft.com/office/drawing/2014/chart" uri="{C3380CC4-5D6E-409C-BE32-E72D297353CC}">
              <c16:uniqueId val="{00000002-1915-42D4-9B0C-E768BABBA132}"/>
            </c:ext>
          </c:extLst>
        </c:ser>
        <c:dLbls>
          <c:showLegendKey val="0"/>
          <c:showVal val="0"/>
          <c:showCatName val="0"/>
          <c:showSerName val="0"/>
          <c:showPercent val="0"/>
          <c:showBubbleSize val="0"/>
        </c:dLbls>
        <c:gapWidth val="100"/>
        <c:overlap val="100"/>
        <c:axId val="1925014063"/>
        <c:axId val="1925017903"/>
      </c:barChart>
      <c:valAx>
        <c:axId val="1925017903"/>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5014063"/>
        <c:crosses val="autoZero"/>
        <c:crossBetween val="between"/>
      </c:valAx>
      <c:catAx>
        <c:axId val="1925014063"/>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501790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[Stock 1.xlsx]PT_HighLow!PivotTable1</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Daily High vs Low Price Range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shade val="76000"/>
                <a:lumMod val="60000"/>
                <a:lumOff val="40000"/>
              </a:schemeClr>
            </a:solidFill>
            <a:ln>
              <a:noFill/>
            </a:ln>
            <a:effectLst>
              <a:glow rad="63500">
                <a:schemeClr val="accent1">
                  <a:shade val="76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ln>
          <a:effectLst>
            <a:glow rad="139700">
              <a:schemeClr val="accent1">
                <a:satMod val="175000"/>
                <a:alpha val="14000"/>
              </a:schemeClr>
            </a:glow>
          </a:effectLst>
        </c:spPr>
        <c:marker>
          <c:symbol val="circle"/>
          <c:size val="4"/>
          <c:spPr>
            <a:solidFill>
              <a:schemeClr val="accent1">
                <a:tint val="77000"/>
                <a:lumMod val="60000"/>
                <a:lumOff val="40000"/>
              </a:schemeClr>
            </a:solidFill>
            <a:ln>
              <a:noFill/>
            </a:ln>
            <a:effectLst>
              <a:glow rad="63500">
                <a:schemeClr val="accent1">
                  <a:tint val="77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PT_HighLow!$B$3</c:f>
              <c:strCache>
                <c:ptCount val="1"/>
                <c:pt idx="0">
                  <c:v>Average of HIGH </c:v>
                </c:pt>
              </c:strCache>
            </c:strRef>
          </c:tx>
          <c:spPr>
            <a:ln w="22225" cap="rnd">
              <a:solidFill>
                <a:schemeClr val="accent1">
                  <a:shade val="76000"/>
                </a:schemeClr>
              </a:solidFill>
            </a:ln>
            <a:effectLst>
              <a:glow rad="139700">
                <a:schemeClr val="accent1">
                  <a:shade val="76000"/>
                  <a:satMod val="175000"/>
                  <a:alpha val="14000"/>
                </a:schemeClr>
              </a:glow>
            </a:effectLst>
          </c:spPr>
          <c:marker>
            <c:symbol val="circle"/>
            <c:size val="4"/>
            <c:spPr>
              <a:solidFill>
                <a:schemeClr val="accent1">
                  <a:shade val="76000"/>
                  <a:lumMod val="60000"/>
                  <a:lumOff val="40000"/>
                </a:schemeClr>
              </a:solidFill>
              <a:ln>
                <a:noFill/>
              </a:ln>
              <a:effectLst>
                <a:glow rad="63500">
                  <a:schemeClr val="accent1">
                    <a:shade val="76000"/>
                    <a:satMod val="175000"/>
                    <a:alpha val="25000"/>
                  </a:schemeClr>
                </a:glow>
              </a:effectLst>
            </c:spPr>
          </c:marker>
          <c:cat>
            <c:strRef>
              <c:f>PT_HighLow!$A$4:$A$13</c:f>
              <c:strCache>
                <c:ptCount val="10"/>
                <c:pt idx="0">
                  <c:v>26-Jul-24</c:v>
                </c:pt>
                <c:pt idx="1">
                  <c:v>29-Jul-24</c:v>
                </c:pt>
                <c:pt idx="2">
                  <c:v>30-Jul-24</c:v>
                </c:pt>
                <c:pt idx="3">
                  <c:v>31-Jul-24</c:v>
                </c:pt>
                <c:pt idx="4">
                  <c:v>01-Aug-24</c:v>
                </c:pt>
                <c:pt idx="5">
                  <c:v>02-Aug-24</c:v>
                </c:pt>
                <c:pt idx="6">
                  <c:v>19-Aug-24</c:v>
                </c:pt>
                <c:pt idx="7">
                  <c:v>29-Aug-24</c:v>
                </c:pt>
                <c:pt idx="8">
                  <c:v>30-Aug-24</c:v>
                </c:pt>
                <c:pt idx="9">
                  <c:v>02-Sep-24</c:v>
                </c:pt>
              </c:strCache>
            </c:strRef>
          </c:cat>
          <c:val>
            <c:numRef>
              <c:f>PT_HighLow!$B$4:$B$13</c:f>
              <c:numCache>
                <c:formatCode>0.00</c:formatCode>
                <c:ptCount val="10"/>
                <c:pt idx="0">
                  <c:v>1120.5</c:v>
                </c:pt>
                <c:pt idx="1">
                  <c:v>1139.9000000000001</c:v>
                </c:pt>
                <c:pt idx="2">
                  <c:v>1179</c:v>
                </c:pt>
                <c:pt idx="3">
                  <c:v>1167.9000000000001</c:v>
                </c:pt>
                <c:pt idx="4">
                  <c:v>1176</c:v>
                </c:pt>
                <c:pt idx="5">
                  <c:v>1120</c:v>
                </c:pt>
                <c:pt idx="6">
                  <c:v>1107</c:v>
                </c:pt>
                <c:pt idx="7">
                  <c:v>1142</c:v>
                </c:pt>
                <c:pt idx="8">
                  <c:v>1115</c:v>
                </c:pt>
                <c:pt idx="9">
                  <c:v>1105</c:v>
                </c:pt>
              </c:numCache>
            </c:numRef>
          </c:val>
          <c:smooth val="0"/>
          <c:extLst>
            <c:ext xmlns:c16="http://schemas.microsoft.com/office/drawing/2014/chart" uri="{C3380CC4-5D6E-409C-BE32-E72D297353CC}">
              <c16:uniqueId val="{00000000-C2AC-422D-BCFF-92BA5C26A7E8}"/>
            </c:ext>
          </c:extLst>
        </c:ser>
        <c:ser>
          <c:idx val="1"/>
          <c:order val="1"/>
          <c:tx>
            <c:strRef>
              <c:f>PT_HighLow!$C$3</c:f>
              <c:strCache>
                <c:ptCount val="1"/>
                <c:pt idx="0">
                  <c:v>Average of LOW </c:v>
                </c:pt>
              </c:strCache>
            </c:strRef>
          </c:tx>
          <c:spPr>
            <a:ln w="22225" cap="rnd">
              <a:solidFill>
                <a:schemeClr val="accent1">
                  <a:tint val="77000"/>
                </a:schemeClr>
              </a:solidFill>
            </a:ln>
            <a:effectLst>
              <a:glow rad="139700">
                <a:schemeClr val="accent1">
                  <a:tint val="77000"/>
                  <a:satMod val="175000"/>
                  <a:alpha val="14000"/>
                </a:schemeClr>
              </a:glow>
            </a:effectLst>
          </c:spPr>
          <c:marker>
            <c:symbol val="circle"/>
            <c:size val="4"/>
            <c:spPr>
              <a:solidFill>
                <a:schemeClr val="accent1">
                  <a:tint val="77000"/>
                  <a:lumMod val="60000"/>
                  <a:lumOff val="40000"/>
                </a:schemeClr>
              </a:solidFill>
              <a:ln>
                <a:noFill/>
              </a:ln>
              <a:effectLst>
                <a:glow rad="63500">
                  <a:schemeClr val="accent1">
                    <a:tint val="77000"/>
                    <a:satMod val="175000"/>
                    <a:alpha val="25000"/>
                  </a:schemeClr>
                </a:glow>
              </a:effectLst>
            </c:spPr>
          </c:marker>
          <c:cat>
            <c:strRef>
              <c:f>PT_HighLow!$A$4:$A$13</c:f>
              <c:strCache>
                <c:ptCount val="10"/>
                <c:pt idx="0">
                  <c:v>26-Jul-24</c:v>
                </c:pt>
                <c:pt idx="1">
                  <c:v>29-Jul-24</c:v>
                </c:pt>
                <c:pt idx="2">
                  <c:v>30-Jul-24</c:v>
                </c:pt>
                <c:pt idx="3">
                  <c:v>31-Jul-24</c:v>
                </c:pt>
                <c:pt idx="4">
                  <c:v>01-Aug-24</c:v>
                </c:pt>
                <c:pt idx="5">
                  <c:v>02-Aug-24</c:v>
                </c:pt>
                <c:pt idx="6">
                  <c:v>19-Aug-24</c:v>
                </c:pt>
                <c:pt idx="7">
                  <c:v>29-Aug-24</c:v>
                </c:pt>
                <c:pt idx="8">
                  <c:v>30-Aug-24</c:v>
                </c:pt>
                <c:pt idx="9">
                  <c:v>02-Sep-24</c:v>
                </c:pt>
              </c:strCache>
            </c:strRef>
          </c:cat>
          <c:val>
            <c:numRef>
              <c:f>PT_HighLow!$C$4:$C$13</c:f>
              <c:numCache>
                <c:formatCode>0.00</c:formatCode>
                <c:ptCount val="10"/>
                <c:pt idx="0">
                  <c:v>1083.5999999999999</c:v>
                </c:pt>
                <c:pt idx="1">
                  <c:v>1118.5999999999999</c:v>
                </c:pt>
                <c:pt idx="2">
                  <c:v>1118.5999999999999</c:v>
                </c:pt>
                <c:pt idx="3">
                  <c:v>1145.3</c:v>
                </c:pt>
                <c:pt idx="4">
                  <c:v>1136.5</c:v>
                </c:pt>
                <c:pt idx="5">
                  <c:v>1090.05</c:v>
                </c:pt>
                <c:pt idx="6">
                  <c:v>1085</c:v>
                </c:pt>
                <c:pt idx="7">
                  <c:v>1066</c:v>
                </c:pt>
                <c:pt idx="8">
                  <c:v>1097.45</c:v>
                </c:pt>
                <c:pt idx="9">
                  <c:v>1087.3499999999999</c:v>
                </c:pt>
              </c:numCache>
            </c:numRef>
          </c:val>
          <c:smooth val="0"/>
          <c:extLst>
            <c:ext xmlns:c16="http://schemas.microsoft.com/office/drawing/2014/chart" uri="{C3380CC4-5D6E-409C-BE32-E72D297353CC}">
              <c16:uniqueId val="{00000001-C2AC-422D-BCFF-92BA5C26A7E8}"/>
            </c:ext>
          </c:extLst>
        </c:ser>
        <c:dLbls>
          <c:showLegendKey val="0"/>
          <c:showVal val="0"/>
          <c:showCatName val="0"/>
          <c:showSerName val="0"/>
          <c:showPercent val="0"/>
          <c:showBubbleSize val="0"/>
        </c:dLbls>
        <c:marker val="1"/>
        <c:smooth val="0"/>
        <c:axId val="1084819136"/>
        <c:axId val="1084810496"/>
      </c:lineChart>
      <c:catAx>
        <c:axId val="108481913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84810496"/>
        <c:crosses val="autoZero"/>
        <c:auto val="1"/>
        <c:lblAlgn val="ctr"/>
        <c:lblOffset val="100"/>
        <c:noMultiLvlLbl val="0"/>
      </c:catAx>
      <c:valAx>
        <c:axId val="108481049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84819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[Stock 1.xlsx]PT_Monthly!PivotTable3</c:name>
    <c:fmtId val="3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Monthly VWAP and Volume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w="9525">
              <a:solidFill>
                <a:schemeClr val="accent1">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w="9525">
              <a:solidFill>
                <a:schemeClr val="accent1">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PT_Monthly!$B$3</c:f>
              <c:strCache>
                <c:ptCount val="1"/>
                <c:pt idx="0">
                  <c:v>Average of vwap </c:v>
                </c:pt>
              </c:strCache>
            </c:strRef>
          </c:tx>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PT_Monthly!$A$4:$A$15</c:f>
              <c:strCache>
                <c:ptCount val="12"/>
                <c:pt idx="0">
                  <c:v>May</c:v>
                </c:pt>
                <c:pt idx="1">
                  <c:v>Mar</c:v>
                </c:pt>
                <c:pt idx="2">
                  <c:v>Feb</c:v>
                </c:pt>
                <c:pt idx="3">
                  <c:v>Jan</c:v>
                </c:pt>
                <c:pt idx="4">
                  <c:v>Dec</c:v>
                </c:pt>
                <c:pt idx="5">
                  <c:v>Nov</c:v>
                </c:pt>
                <c:pt idx="6">
                  <c:v>Oct</c:v>
                </c:pt>
                <c:pt idx="7">
                  <c:v>Sep</c:v>
                </c:pt>
                <c:pt idx="8">
                  <c:v>Aug</c:v>
                </c:pt>
                <c:pt idx="9">
                  <c:v>Jul</c:v>
                </c:pt>
                <c:pt idx="10">
                  <c:v>Jun</c:v>
                </c:pt>
                <c:pt idx="11">
                  <c:v>Apr</c:v>
                </c:pt>
              </c:strCache>
            </c:strRef>
          </c:cat>
          <c:val>
            <c:numRef>
              <c:f>PT_Monthly!$B$4:$B$15</c:f>
              <c:numCache>
                <c:formatCode>0.00</c:formatCode>
                <c:ptCount val="12"/>
                <c:pt idx="0">
                  <c:v>968.14590909090907</c:v>
                </c:pt>
                <c:pt idx="1">
                  <c:v>669.41000000000008</c:v>
                </c:pt>
                <c:pt idx="2">
                  <c:v>680.44800000000009</c:v>
                </c:pt>
                <c:pt idx="3">
                  <c:v>766.89458333333334</c:v>
                </c:pt>
                <c:pt idx="4">
                  <c:v>769.74571428571414</c:v>
                </c:pt>
                <c:pt idx="5">
                  <c:v>797.63157894736855</c:v>
                </c:pt>
                <c:pt idx="6">
                  <c:v>897.42227272727257</c:v>
                </c:pt>
                <c:pt idx="7">
                  <c:v>1001.3790476190474</c:v>
                </c:pt>
                <c:pt idx="8">
                  <c:v>1075.2166666666667</c:v>
                </c:pt>
                <c:pt idx="9">
                  <c:v>1039.8268181818182</c:v>
                </c:pt>
                <c:pt idx="10">
                  <c:v>968.132105263158</c:v>
                </c:pt>
                <c:pt idx="11">
                  <c:v>1000.4515000000001</c:v>
                </c:pt>
              </c:numCache>
            </c:numRef>
          </c:val>
          <c:extLst>
            <c:ext xmlns:c16="http://schemas.microsoft.com/office/drawing/2014/chart" uri="{C3380CC4-5D6E-409C-BE32-E72D297353CC}">
              <c16:uniqueId val="{00000000-1955-4936-B234-1C695B6DE32B}"/>
            </c:ext>
          </c:extLst>
        </c:ser>
        <c:ser>
          <c:idx val="1"/>
          <c:order val="1"/>
          <c:tx>
            <c:strRef>
              <c:f>PT_Monthly!$C$3</c:f>
              <c:strCache>
                <c:ptCount val="1"/>
                <c:pt idx="0">
                  <c:v>Sum of VOLUME </c:v>
                </c:pt>
              </c:strCache>
            </c:strRef>
          </c:tx>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invertIfNegative val="0"/>
          <c:cat>
            <c:strRef>
              <c:f>PT_Monthly!$A$4:$A$15</c:f>
              <c:strCache>
                <c:ptCount val="12"/>
                <c:pt idx="0">
                  <c:v>May</c:v>
                </c:pt>
                <c:pt idx="1">
                  <c:v>Mar</c:v>
                </c:pt>
                <c:pt idx="2">
                  <c:v>Feb</c:v>
                </c:pt>
                <c:pt idx="3">
                  <c:v>Jan</c:v>
                </c:pt>
                <c:pt idx="4">
                  <c:v>Dec</c:v>
                </c:pt>
                <c:pt idx="5">
                  <c:v>Nov</c:v>
                </c:pt>
                <c:pt idx="6">
                  <c:v>Oct</c:v>
                </c:pt>
                <c:pt idx="7">
                  <c:v>Sep</c:v>
                </c:pt>
                <c:pt idx="8">
                  <c:v>Aug</c:v>
                </c:pt>
                <c:pt idx="9">
                  <c:v>Jul</c:v>
                </c:pt>
                <c:pt idx="10">
                  <c:v>Jun</c:v>
                </c:pt>
                <c:pt idx="11">
                  <c:v>Apr</c:v>
                </c:pt>
              </c:strCache>
            </c:strRef>
          </c:cat>
          <c:val>
            <c:numRef>
              <c:f>PT_Monthly!$C$4:$C$15</c:f>
              <c:numCache>
                <c:formatCode>0.00</c:formatCode>
                <c:ptCount val="12"/>
                <c:pt idx="0">
                  <c:v>306757650</c:v>
                </c:pt>
                <c:pt idx="1">
                  <c:v>243136629</c:v>
                </c:pt>
                <c:pt idx="2">
                  <c:v>245072016</c:v>
                </c:pt>
                <c:pt idx="3">
                  <c:v>358730064</c:v>
                </c:pt>
                <c:pt idx="4">
                  <c:v>269472023</c:v>
                </c:pt>
                <c:pt idx="5">
                  <c:v>261187086</c:v>
                </c:pt>
                <c:pt idx="6">
                  <c:v>267645566</c:v>
                </c:pt>
                <c:pt idx="7">
                  <c:v>298426836</c:v>
                </c:pt>
                <c:pt idx="8">
                  <c:v>278523881</c:v>
                </c:pt>
                <c:pt idx="9">
                  <c:v>272827239</c:v>
                </c:pt>
                <c:pt idx="10">
                  <c:v>249381507</c:v>
                </c:pt>
                <c:pt idx="11">
                  <c:v>173343316</c:v>
                </c:pt>
              </c:numCache>
            </c:numRef>
          </c:val>
          <c:extLst>
            <c:ext xmlns:c16="http://schemas.microsoft.com/office/drawing/2014/chart" uri="{C3380CC4-5D6E-409C-BE32-E72D297353CC}">
              <c16:uniqueId val="{00000001-1955-4936-B234-1C695B6DE32B}"/>
            </c:ext>
          </c:extLst>
        </c:ser>
        <c:dLbls>
          <c:showLegendKey val="0"/>
          <c:showVal val="0"/>
          <c:showCatName val="0"/>
          <c:showSerName val="0"/>
          <c:showPercent val="0"/>
          <c:showBubbleSize val="0"/>
        </c:dLbls>
        <c:gapWidth val="247"/>
        <c:axId val="908083984"/>
        <c:axId val="908085424"/>
      </c:barChart>
      <c:catAx>
        <c:axId val="9080839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8085424"/>
        <c:crosses val="autoZero"/>
        <c:auto val="1"/>
        <c:lblAlgn val="ctr"/>
        <c:lblOffset val="100"/>
        <c:noMultiLvlLbl val="0"/>
      </c:catAx>
      <c:valAx>
        <c:axId val="908085424"/>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8083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[Stock 1.xlsx]PT_HighLow!PivotTable1</c:name>
    <c:fmtId val="21"/>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Daily High vs Low Price Range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pPr>
            <a:solidFill>
              <a:schemeClr val="accent1">
                <a:shade val="76000"/>
                <a:lumMod val="60000"/>
                <a:lumOff val="40000"/>
              </a:schemeClr>
            </a:solidFill>
            <a:ln>
              <a:noFill/>
            </a:ln>
            <a:effectLst>
              <a:glow rad="63500">
                <a:schemeClr val="accent1">
                  <a:shade val="76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pPr>
            <a:solidFill>
              <a:schemeClr val="accent1">
                <a:tint val="77000"/>
                <a:lumMod val="60000"/>
                <a:lumOff val="40000"/>
              </a:schemeClr>
            </a:solidFill>
            <a:ln>
              <a:noFill/>
            </a:ln>
            <a:effectLst>
              <a:glow rad="63500">
                <a:schemeClr val="accent1">
                  <a:tint val="77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pPr>
            <a:solidFill>
              <a:schemeClr val="accent1">
                <a:shade val="76000"/>
                <a:lumMod val="60000"/>
                <a:lumOff val="40000"/>
              </a:schemeClr>
            </a:solidFill>
            <a:ln>
              <a:noFill/>
            </a:ln>
            <a:effectLst>
              <a:glow rad="63500">
                <a:schemeClr val="accent1">
                  <a:shade val="76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noFill/>
          <a:ln w="22225" cap="rnd" cmpd="sng" algn="ctr">
            <a:solidFill>
              <a:schemeClr val="accent1"/>
            </a:solidFill>
            <a:miter lim="800000"/>
          </a:ln>
          <a:effectLst>
            <a:glow rad="139700">
              <a:schemeClr val="accent1">
                <a:satMod val="175000"/>
                <a:alpha val="14000"/>
              </a:schemeClr>
            </a:glow>
          </a:effectLst>
        </c:spPr>
        <c:marker>
          <c:spPr>
            <a:solidFill>
              <a:schemeClr val="accent1">
                <a:tint val="77000"/>
                <a:lumMod val="60000"/>
                <a:lumOff val="40000"/>
              </a:schemeClr>
            </a:solidFill>
            <a:ln>
              <a:noFill/>
            </a:ln>
            <a:effectLst>
              <a:glow rad="63500">
                <a:schemeClr val="accent1">
                  <a:tint val="77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shade val="76000"/>
                <a:lumMod val="60000"/>
                <a:lumOff val="40000"/>
              </a:schemeClr>
            </a:solidFill>
            <a:ln>
              <a:noFill/>
            </a:ln>
            <a:effectLst>
              <a:glow rad="63500">
                <a:schemeClr val="accent1">
                  <a:shade val="76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tint val="77000"/>
                <a:lumMod val="60000"/>
                <a:lumOff val="40000"/>
              </a:schemeClr>
            </a:solidFill>
            <a:ln>
              <a:noFill/>
            </a:ln>
            <a:effectLst>
              <a:glow rad="63500">
                <a:schemeClr val="accent1">
                  <a:tint val="77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shade val="76000"/>
                <a:lumMod val="60000"/>
                <a:lumOff val="40000"/>
              </a:schemeClr>
            </a:solidFill>
            <a:ln>
              <a:noFill/>
            </a:ln>
            <a:effectLst>
              <a:glow rad="63500">
                <a:schemeClr val="accent1">
                  <a:shade val="76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tint val="77000"/>
                <a:lumMod val="60000"/>
                <a:lumOff val="40000"/>
              </a:schemeClr>
            </a:solidFill>
            <a:ln>
              <a:noFill/>
            </a:ln>
            <a:effectLst>
              <a:glow rad="63500">
                <a:schemeClr val="accent1">
                  <a:tint val="77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shade val="76000"/>
                <a:lumMod val="60000"/>
                <a:lumOff val="40000"/>
              </a:schemeClr>
            </a:solidFill>
            <a:ln>
              <a:noFill/>
            </a:ln>
            <a:effectLst>
              <a:glow rad="63500">
                <a:schemeClr val="accent1">
                  <a:shade val="76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tint val="77000"/>
                <a:lumMod val="60000"/>
                <a:lumOff val="40000"/>
              </a:schemeClr>
            </a:solidFill>
            <a:ln>
              <a:noFill/>
            </a:ln>
            <a:effectLst>
              <a:glow rad="63500">
                <a:schemeClr val="accent1">
                  <a:tint val="77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shade val="76000"/>
                <a:lumMod val="60000"/>
                <a:lumOff val="40000"/>
              </a:schemeClr>
            </a:solidFill>
            <a:ln>
              <a:noFill/>
            </a:ln>
            <a:effectLst>
              <a:glow rad="63500">
                <a:schemeClr val="accent1">
                  <a:shade val="76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tint val="77000"/>
                <a:lumMod val="60000"/>
                <a:lumOff val="40000"/>
              </a:schemeClr>
            </a:solidFill>
            <a:ln>
              <a:noFill/>
            </a:ln>
            <a:effectLst>
              <a:glow rad="63500">
                <a:schemeClr val="accent1">
                  <a:tint val="77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2225" cap="rnd">
            <a:solidFill>
              <a:schemeClr val="accent1"/>
            </a:solidFill>
          </a:ln>
          <a:effectLst>
            <a:glow rad="139700">
              <a:schemeClr val="accent1">
                <a:satMod val="175000"/>
                <a:alpha val="14000"/>
              </a:schemeClr>
            </a:glow>
          </a:effectLst>
        </c:spPr>
        <c:marker>
          <c:symbol val="circle"/>
          <c:size val="4"/>
          <c:spPr>
            <a:solidFill>
              <a:schemeClr val="accent1">
                <a:shade val="76000"/>
                <a:lumMod val="60000"/>
                <a:lumOff val="40000"/>
              </a:schemeClr>
            </a:solidFill>
            <a:ln>
              <a:noFill/>
            </a:ln>
            <a:effectLst>
              <a:glow rad="63500">
                <a:schemeClr val="accent1">
                  <a:shade val="76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2225" cap="rnd">
            <a:solidFill>
              <a:schemeClr val="accent1"/>
            </a:solidFill>
          </a:ln>
          <a:effectLst>
            <a:glow rad="139700">
              <a:schemeClr val="accent1">
                <a:satMod val="175000"/>
                <a:alpha val="14000"/>
              </a:schemeClr>
            </a:glow>
          </a:effectLst>
        </c:spPr>
        <c:marker>
          <c:symbol val="circle"/>
          <c:size val="4"/>
          <c:spPr>
            <a:solidFill>
              <a:schemeClr val="accent1">
                <a:tint val="77000"/>
                <a:lumMod val="60000"/>
                <a:lumOff val="40000"/>
              </a:schemeClr>
            </a:solidFill>
            <a:ln>
              <a:noFill/>
            </a:ln>
            <a:effectLst>
              <a:glow rad="63500">
                <a:schemeClr val="accent1">
                  <a:tint val="77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PT_HighLow!$B$3</c:f>
              <c:strCache>
                <c:ptCount val="1"/>
                <c:pt idx="0">
                  <c:v>Average of HIGH </c:v>
                </c:pt>
              </c:strCache>
            </c:strRef>
          </c:tx>
          <c:spPr>
            <a:ln w="22225" cap="rnd">
              <a:solidFill>
                <a:schemeClr val="accent1">
                  <a:shade val="76000"/>
                </a:schemeClr>
              </a:solidFill>
            </a:ln>
            <a:effectLst>
              <a:glow rad="139700">
                <a:schemeClr val="accent1">
                  <a:shade val="76000"/>
                  <a:satMod val="175000"/>
                  <a:alpha val="14000"/>
                </a:schemeClr>
              </a:glow>
            </a:effectLst>
          </c:spPr>
          <c:marker>
            <c:symbol val="circle"/>
            <c:size val="4"/>
            <c:spPr>
              <a:solidFill>
                <a:schemeClr val="accent1">
                  <a:shade val="76000"/>
                  <a:lumMod val="60000"/>
                  <a:lumOff val="40000"/>
                </a:schemeClr>
              </a:solidFill>
              <a:ln>
                <a:noFill/>
              </a:ln>
              <a:effectLst>
                <a:glow rad="63500">
                  <a:schemeClr val="accent1">
                    <a:shade val="76000"/>
                    <a:satMod val="175000"/>
                    <a:alpha val="25000"/>
                  </a:schemeClr>
                </a:glow>
              </a:effectLst>
            </c:spPr>
          </c:marker>
          <c:cat>
            <c:strRef>
              <c:f>PT_HighLow!$A$4:$A$13</c:f>
              <c:strCache>
                <c:ptCount val="10"/>
                <c:pt idx="0">
                  <c:v>26-Jul-24</c:v>
                </c:pt>
                <c:pt idx="1">
                  <c:v>29-Jul-24</c:v>
                </c:pt>
                <c:pt idx="2">
                  <c:v>30-Jul-24</c:v>
                </c:pt>
                <c:pt idx="3">
                  <c:v>31-Jul-24</c:v>
                </c:pt>
                <c:pt idx="4">
                  <c:v>01-Aug-24</c:v>
                </c:pt>
                <c:pt idx="5">
                  <c:v>02-Aug-24</c:v>
                </c:pt>
                <c:pt idx="6">
                  <c:v>19-Aug-24</c:v>
                </c:pt>
                <c:pt idx="7">
                  <c:v>29-Aug-24</c:v>
                </c:pt>
                <c:pt idx="8">
                  <c:v>30-Aug-24</c:v>
                </c:pt>
                <c:pt idx="9">
                  <c:v>02-Sep-24</c:v>
                </c:pt>
              </c:strCache>
            </c:strRef>
          </c:cat>
          <c:val>
            <c:numRef>
              <c:f>PT_HighLow!$B$4:$B$13</c:f>
              <c:numCache>
                <c:formatCode>0.00</c:formatCode>
                <c:ptCount val="10"/>
                <c:pt idx="0">
                  <c:v>1120.5</c:v>
                </c:pt>
                <c:pt idx="1">
                  <c:v>1139.9000000000001</c:v>
                </c:pt>
                <c:pt idx="2">
                  <c:v>1179</c:v>
                </c:pt>
                <c:pt idx="3">
                  <c:v>1167.9000000000001</c:v>
                </c:pt>
                <c:pt idx="4">
                  <c:v>1176</c:v>
                </c:pt>
                <c:pt idx="5">
                  <c:v>1120</c:v>
                </c:pt>
                <c:pt idx="6">
                  <c:v>1107</c:v>
                </c:pt>
                <c:pt idx="7">
                  <c:v>1142</c:v>
                </c:pt>
                <c:pt idx="8">
                  <c:v>1115</c:v>
                </c:pt>
                <c:pt idx="9">
                  <c:v>1105</c:v>
                </c:pt>
              </c:numCache>
            </c:numRef>
          </c:val>
          <c:smooth val="0"/>
          <c:extLst>
            <c:ext xmlns:c16="http://schemas.microsoft.com/office/drawing/2014/chart" uri="{C3380CC4-5D6E-409C-BE32-E72D297353CC}">
              <c16:uniqueId val="{00000000-E857-4D8E-A4E1-AB3482C6A2F8}"/>
            </c:ext>
          </c:extLst>
        </c:ser>
        <c:ser>
          <c:idx val="1"/>
          <c:order val="1"/>
          <c:tx>
            <c:strRef>
              <c:f>PT_HighLow!$C$3</c:f>
              <c:strCache>
                <c:ptCount val="1"/>
                <c:pt idx="0">
                  <c:v>Average of LOW </c:v>
                </c:pt>
              </c:strCache>
            </c:strRef>
          </c:tx>
          <c:spPr>
            <a:ln w="22225" cap="rnd">
              <a:solidFill>
                <a:schemeClr val="accent1">
                  <a:tint val="77000"/>
                </a:schemeClr>
              </a:solidFill>
            </a:ln>
            <a:effectLst>
              <a:glow rad="139700">
                <a:schemeClr val="accent1">
                  <a:tint val="77000"/>
                  <a:satMod val="175000"/>
                  <a:alpha val="14000"/>
                </a:schemeClr>
              </a:glow>
            </a:effectLst>
          </c:spPr>
          <c:marker>
            <c:symbol val="circle"/>
            <c:size val="4"/>
            <c:spPr>
              <a:solidFill>
                <a:schemeClr val="accent1">
                  <a:tint val="77000"/>
                  <a:lumMod val="60000"/>
                  <a:lumOff val="40000"/>
                </a:schemeClr>
              </a:solidFill>
              <a:ln>
                <a:noFill/>
              </a:ln>
              <a:effectLst>
                <a:glow rad="63500">
                  <a:schemeClr val="accent1">
                    <a:tint val="77000"/>
                    <a:satMod val="175000"/>
                    <a:alpha val="25000"/>
                  </a:schemeClr>
                </a:glow>
              </a:effectLst>
            </c:spPr>
          </c:marker>
          <c:cat>
            <c:strRef>
              <c:f>PT_HighLow!$A$4:$A$13</c:f>
              <c:strCache>
                <c:ptCount val="10"/>
                <c:pt idx="0">
                  <c:v>26-Jul-24</c:v>
                </c:pt>
                <c:pt idx="1">
                  <c:v>29-Jul-24</c:v>
                </c:pt>
                <c:pt idx="2">
                  <c:v>30-Jul-24</c:v>
                </c:pt>
                <c:pt idx="3">
                  <c:v>31-Jul-24</c:v>
                </c:pt>
                <c:pt idx="4">
                  <c:v>01-Aug-24</c:v>
                </c:pt>
                <c:pt idx="5">
                  <c:v>02-Aug-24</c:v>
                </c:pt>
                <c:pt idx="6">
                  <c:v>19-Aug-24</c:v>
                </c:pt>
                <c:pt idx="7">
                  <c:v>29-Aug-24</c:v>
                </c:pt>
                <c:pt idx="8">
                  <c:v>30-Aug-24</c:v>
                </c:pt>
                <c:pt idx="9">
                  <c:v>02-Sep-24</c:v>
                </c:pt>
              </c:strCache>
            </c:strRef>
          </c:cat>
          <c:val>
            <c:numRef>
              <c:f>PT_HighLow!$C$4:$C$13</c:f>
              <c:numCache>
                <c:formatCode>0.00</c:formatCode>
                <c:ptCount val="10"/>
                <c:pt idx="0">
                  <c:v>1083.5999999999999</c:v>
                </c:pt>
                <c:pt idx="1">
                  <c:v>1118.5999999999999</c:v>
                </c:pt>
                <c:pt idx="2">
                  <c:v>1118.5999999999999</c:v>
                </c:pt>
                <c:pt idx="3">
                  <c:v>1145.3</c:v>
                </c:pt>
                <c:pt idx="4">
                  <c:v>1136.5</c:v>
                </c:pt>
                <c:pt idx="5">
                  <c:v>1090.05</c:v>
                </c:pt>
                <c:pt idx="6">
                  <c:v>1085</c:v>
                </c:pt>
                <c:pt idx="7">
                  <c:v>1066</c:v>
                </c:pt>
                <c:pt idx="8">
                  <c:v>1097.45</c:v>
                </c:pt>
                <c:pt idx="9">
                  <c:v>1087.3499999999999</c:v>
                </c:pt>
              </c:numCache>
            </c:numRef>
          </c:val>
          <c:smooth val="0"/>
          <c:extLst>
            <c:ext xmlns:c16="http://schemas.microsoft.com/office/drawing/2014/chart" uri="{C3380CC4-5D6E-409C-BE32-E72D297353CC}">
              <c16:uniqueId val="{00000001-E857-4D8E-A4E1-AB3482C6A2F8}"/>
            </c:ext>
          </c:extLst>
        </c:ser>
        <c:dLbls>
          <c:showLegendKey val="0"/>
          <c:showVal val="0"/>
          <c:showCatName val="0"/>
          <c:showSerName val="0"/>
          <c:showPercent val="0"/>
          <c:showBubbleSize val="0"/>
        </c:dLbls>
        <c:marker val="1"/>
        <c:smooth val="0"/>
        <c:axId val="1084819136"/>
        <c:axId val="1084810496"/>
      </c:lineChart>
      <c:catAx>
        <c:axId val="108481913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84810496"/>
        <c:crosses val="autoZero"/>
        <c:auto val="1"/>
        <c:lblAlgn val="ctr"/>
        <c:lblOffset val="100"/>
        <c:noMultiLvlLbl val="0"/>
      </c:catAx>
      <c:valAx>
        <c:axId val="108481049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84819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[Stock 1.xlsx]Volume_Month!PivotTable1</c:name>
    <c:fmtId val="4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IN" b="1" baseline="0">
                <a:solidFill>
                  <a:schemeClr val="bg1"/>
                </a:solidFill>
              </a:rPr>
              <a:t>Volume Distribution by Month</a:t>
            </a:r>
            <a:endParaRPr lang="en-IN" baseline="0">
              <a:solidFill>
                <a:schemeClr val="bg1"/>
              </a:solidFill>
            </a:endParaRPr>
          </a:p>
          <a:p>
            <a:pPr marL="0" marR="0" lvl="0" indent="0" algn="ctr" defTabSz="914400" rtl="0" eaLnBrk="1" fontAlgn="auto" latinLnBrk="0" hangingPunct="1">
              <a:lnSpc>
                <a:spcPct val="100000"/>
              </a:lnSpc>
              <a:spcBef>
                <a:spcPts val="0"/>
              </a:spcBef>
              <a:spcAft>
                <a:spcPts val="0"/>
              </a:spcAft>
              <a:buClrTx/>
              <a:buSzTx/>
              <a:buFontTx/>
              <a:buNone/>
              <a:tabLst/>
              <a:defRPr>
                <a:solidFill>
                  <a:schemeClr val="bg1"/>
                </a:solidFill>
              </a:defRPr>
            </a:pPr>
            <a:endParaRPr lang="en-US" baseline="0">
              <a:solidFill>
                <a:schemeClr val="bg1"/>
              </a:solidFill>
            </a:endParaRPr>
          </a:p>
        </c:rich>
      </c:tx>
      <c:layout>
        <c:manualLayout>
          <c:xMode val="edge"/>
          <c:yMode val="edge"/>
          <c:x val="0.15968744531933507"/>
          <c:y val="0.10083114610673666"/>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40000"/>
                  <a:satMod val="103000"/>
                  <a:lumMod val="102000"/>
                  <a:tint val="94000"/>
                </a:schemeClr>
              </a:gs>
              <a:gs pos="50000">
                <a:schemeClr val="accent1">
                  <a:shade val="40000"/>
                  <a:satMod val="110000"/>
                  <a:lumMod val="100000"/>
                  <a:shade val="100000"/>
                </a:schemeClr>
              </a:gs>
              <a:gs pos="100000">
                <a:schemeClr val="accent1">
                  <a:shade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hade val="51000"/>
                  <a:satMod val="103000"/>
                  <a:lumMod val="102000"/>
                  <a:tint val="94000"/>
                </a:schemeClr>
              </a:gs>
              <a:gs pos="50000">
                <a:schemeClr val="accent1">
                  <a:shade val="51000"/>
                  <a:satMod val="110000"/>
                  <a:lumMod val="100000"/>
                  <a:shade val="100000"/>
                </a:schemeClr>
              </a:gs>
              <a:gs pos="100000">
                <a:schemeClr val="accent1">
                  <a:shade val="51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hade val="62000"/>
                  <a:satMod val="103000"/>
                  <a:lumMod val="102000"/>
                  <a:tint val="94000"/>
                </a:schemeClr>
              </a:gs>
              <a:gs pos="50000">
                <a:schemeClr val="accent1">
                  <a:shade val="62000"/>
                  <a:satMod val="110000"/>
                  <a:lumMod val="100000"/>
                  <a:shade val="100000"/>
                </a:schemeClr>
              </a:gs>
              <a:gs pos="100000">
                <a:schemeClr val="accent1">
                  <a:shade val="62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hade val="73000"/>
                  <a:satMod val="103000"/>
                  <a:lumMod val="102000"/>
                  <a:tint val="94000"/>
                </a:schemeClr>
              </a:gs>
              <a:gs pos="50000">
                <a:schemeClr val="accent1">
                  <a:shade val="73000"/>
                  <a:satMod val="110000"/>
                  <a:lumMod val="100000"/>
                  <a:shade val="100000"/>
                </a:schemeClr>
              </a:gs>
              <a:gs pos="100000">
                <a:schemeClr val="accent1">
                  <a:shade val="73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hade val="83000"/>
                  <a:satMod val="103000"/>
                  <a:lumMod val="102000"/>
                  <a:tint val="94000"/>
                </a:schemeClr>
              </a:gs>
              <a:gs pos="50000">
                <a:schemeClr val="accent1">
                  <a:shade val="83000"/>
                  <a:satMod val="110000"/>
                  <a:lumMod val="100000"/>
                  <a:shade val="100000"/>
                </a:schemeClr>
              </a:gs>
              <a:gs pos="100000">
                <a:schemeClr val="accent1">
                  <a:shade val="83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hade val="94000"/>
                  <a:satMod val="103000"/>
                  <a:lumMod val="102000"/>
                  <a:tint val="94000"/>
                </a:schemeClr>
              </a:gs>
              <a:gs pos="50000">
                <a:schemeClr val="accent1">
                  <a:shade val="94000"/>
                  <a:satMod val="110000"/>
                  <a:lumMod val="100000"/>
                  <a:shade val="100000"/>
                </a:schemeClr>
              </a:gs>
              <a:gs pos="100000">
                <a:schemeClr val="accent1">
                  <a:shade val="94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tint val="95000"/>
                  <a:satMod val="103000"/>
                  <a:lumMod val="102000"/>
                  <a:tint val="94000"/>
                </a:schemeClr>
              </a:gs>
              <a:gs pos="50000">
                <a:schemeClr val="accent1">
                  <a:tint val="95000"/>
                  <a:satMod val="110000"/>
                  <a:lumMod val="100000"/>
                  <a:shade val="100000"/>
                </a:schemeClr>
              </a:gs>
              <a:gs pos="100000">
                <a:schemeClr val="accent1">
                  <a:tint val="9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tint val="84000"/>
                  <a:satMod val="103000"/>
                  <a:lumMod val="102000"/>
                  <a:tint val="94000"/>
                </a:schemeClr>
              </a:gs>
              <a:gs pos="50000">
                <a:schemeClr val="accent1">
                  <a:tint val="84000"/>
                  <a:satMod val="110000"/>
                  <a:lumMod val="100000"/>
                  <a:shade val="100000"/>
                </a:schemeClr>
              </a:gs>
              <a:gs pos="100000">
                <a:schemeClr val="accent1">
                  <a:tint val="84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tint val="74000"/>
                  <a:satMod val="103000"/>
                  <a:lumMod val="102000"/>
                  <a:tint val="94000"/>
                </a:schemeClr>
              </a:gs>
              <a:gs pos="50000">
                <a:schemeClr val="accent1">
                  <a:tint val="74000"/>
                  <a:satMod val="110000"/>
                  <a:lumMod val="100000"/>
                  <a:shade val="100000"/>
                </a:schemeClr>
              </a:gs>
              <a:gs pos="100000">
                <a:schemeClr val="accent1">
                  <a:tint val="74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tint val="63000"/>
                  <a:satMod val="103000"/>
                  <a:lumMod val="102000"/>
                  <a:tint val="94000"/>
                </a:schemeClr>
              </a:gs>
              <a:gs pos="50000">
                <a:schemeClr val="accent1">
                  <a:tint val="63000"/>
                  <a:satMod val="110000"/>
                  <a:lumMod val="100000"/>
                  <a:shade val="100000"/>
                </a:schemeClr>
              </a:gs>
              <a:gs pos="100000">
                <a:schemeClr val="accent1">
                  <a:tint val="63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tint val="52000"/>
                  <a:satMod val="103000"/>
                  <a:lumMod val="102000"/>
                  <a:tint val="94000"/>
                </a:schemeClr>
              </a:gs>
              <a:gs pos="50000">
                <a:schemeClr val="accent1">
                  <a:tint val="52000"/>
                  <a:satMod val="110000"/>
                  <a:lumMod val="100000"/>
                  <a:shade val="100000"/>
                </a:schemeClr>
              </a:gs>
              <a:gs pos="100000">
                <a:schemeClr val="accent1">
                  <a:tint val="52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tint val="41000"/>
                  <a:satMod val="103000"/>
                  <a:lumMod val="102000"/>
                  <a:tint val="94000"/>
                </a:schemeClr>
              </a:gs>
              <a:gs pos="50000">
                <a:schemeClr val="accent1">
                  <a:tint val="41000"/>
                  <a:satMod val="110000"/>
                  <a:lumMod val="100000"/>
                  <a:shade val="100000"/>
                </a:schemeClr>
              </a:gs>
              <a:gs pos="100000">
                <a:schemeClr val="accent1">
                  <a:tint val="41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83000"/>
                  <a:satMod val="103000"/>
                  <a:lumMod val="102000"/>
                  <a:tint val="94000"/>
                </a:schemeClr>
              </a:gs>
              <a:gs pos="50000">
                <a:schemeClr val="accent1">
                  <a:shade val="83000"/>
                  <a:satMod val="110000"/>
                  <a:lumMod val="100000"/>
                  <a:shade val="100000"/>
                </a:schemeClr>
              </a:gs>
              <a:gs pos="100000">
                <a:schemeClr val="accent1">
                  <a:shade val="83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hade val="83000"/>
                  <a:satMod val="103000"/>
                  <a:lumMod val="102000"/>
                  <a:tint val="94000"/>
                </a:schemeClr>
              </a:gs>
              <a:gs pos="50000">
                <a:schemeClr val="accent1">
                  <a:shade val="83000"/>
                  <a:satMod val="110000"/>
                  <a:lumMod val="100000"/>
                  <a:shade val="100000"/>
                </a:schemeClr>
              </a:gs>
              <a:gs pos="100000">
                <a:schemeClr val="accent1">
                  <a:shade val="83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barChart>
        <c:barDir val="bar"/>
        <c:grouping val="stacked"/>
        <c:varyColors val="0"/>
        <c:ser>
          <c:idx val="0"/>
          <c:order val="0"/>
          <c:tx>
            <c:strRef>
              <c:f>Volume_Month!$B$3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1">
                      <a:shade val="83000"/>
                      <a:satMod val="103000"/>
                      <a:lumMod val="102000"/>
                      <a:tint val="94000"/>
                    </a:schemeClr>
                  </a:gs>
                  <a:gs pos="50000">
                    <a:schemeClr val="accent1">
                      <a:shade val="83000"/>
                      <a:satMod val="110000"/>
                      <a:lumMod val="100000"/>
                      <a:shade val="100000"/>
                    </a:schemeClr>
                  </a:gs>
                  <a:gs pos="100000">
                    <a:schemeClr val="accent1">
                      <a:shade val="83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396-4EAE-8BC6-D6C1D83D632A}"/>
              </c:ext>
            </c:extLst>
          </c:dPt>
          <c:cat>
            <c:strRef>
              <c:f>Volume_Month!$A$4:$A$15</c:f>
              <c:strCache>
                <c:ptCount val="12"/>
                <c:pt idx="0">
                  <c:v>May</c:v>
                </c:pt>
                <c:pt idx="1">
                  <c:v>Mar</c:v>
                </c:pt>
                <c:pt idx="2">
                  <c:v>Feb</c:v>
                </c:pt>
                <c:pt idx="3">
                  <c:v>Jan</c:v>
                </c:pt>
                <c:pt idx="4">
                  <c:v>Dec</c:v>
                </c:pt>
                <c:pt idx="5">
                  <c:v>Nov</c:v>
                </c:pt>
                <c:pt idx="6">
                  <c:v>Oct</c:v>
                </c:pt>
                <c:pt idx="7">
                  <c:v>Sep</c:v>
                </c:pt>
                <c:pt idx="8">
                  <c:v>Aug</c:v>
                </c:pt>
                <c:pt idx="9">
                  <c:v>Jul</c:v>
                </c:pt>
                <c:pt idx="10">
                  <c:v>Jun</c:v>
                </c:pt>
                <c:pt idx="11">
                  <c:v>Apr</c:v>
                </c:pt>
              </c:strCache>
            </c:strRef>
          </c:cat>
          <c:val>
            <c:numRef>
              <c:f>Volume_Month!$B$4:$B$15</c:f>
              <c:numCache>
                <c:formatCode>0.00</c:formatCode>
                <c:ptCount val="12"/>
                <c:pt idx="0">
                  <c:v>306757650</c:v>
                </c:pt>
                <c:pt idx="1">
                  <c:v>243136629</c:v>
                </c:pt>
                <c:pt idx="2">
                  <c:v>245072016</c:v>
                </c:pt>
                <c:pt idx="3">
                  <c:v>358730064</c:v>
                </c:pt>
                <c:pt idx="4">
                  <c:v>269472023</c:v>
                </c:pt>
                <c:pt idx="5">
                  <c:v>261187086</c:v>
                </c:pt>
                <c:pt idx="6">
                  <c:v>267645566</c:v>
                </c:pt>
                <c:pt idx="7">
                  <c:v>298426836</c:v>
                </c:pt>
                <c:pt idx="8">
                  <c:v>278523881</c:v>
                </c:pt>
                <c:pt idx="9">
                  <c:v>272827239</c:v>
                </c:pt>
                <c:pt idx="10">
                  <c:v>249381507</c:v>
                </c:pt>
                <c:pt idx="11">
                  <c:v>173343316</c:v>
                </c:pt>
              </c:numCache>
            </c:numRef>
          </c:val>
          <c:extLst>
            <c:ext xmlns:c16="http://schemas.microsoft.com/office/drawing/2014/chart" uri="{C3380CC4-5D6E-409C-BE32-E72D297353CC}">
              <c16:uniqueId val="{00000002-8D3E-459E-99EB-B4036AB74C50}"/>
            </c:ext>
          </c:extLst>
        </c:ser>
        <c:dLbls>
          <c:showLegendKey val="0"/>
          <c:showVal val="0"/>
          <c:showCatName val="0"/>
          <c:showSerName val="0"/>
          <c:showPercent val="0"/>
          <c:showBubbleSize val="0"/>
        </c:dLbls>
        <c:gapWidth val="100"/>
        <c:overlap val="100"/>
        <c:axId val="1925014063"/>
        <c:axId val="1925017903"/>
      </c:barChart>
      <c:valAx>
        <c:axId val="1925017903"/>
        <c:scaling>
          <c:orientation val="minMax"/>
        </c:scaling>
        <c:delete val="1"/>
        <c:axPos val="b"/>
        <c:majorGridlines>
          <c:spPr>
            <a:ln w="9525" cap="flat" cmpd="sng" algn="ctr">
              <a:solidFill>
                <a:schemeClr val="lt1">
                  <a:lumMod val="95000"/>
                  <a:alpha val="10000"/>
                </a:schemeClr>
              </a:solidFill>
              <a:round/>
            </a:ln>
            <a:effectLst/>
          </c:spPr>
        </c:majorGridlines>
        <c:numFmt formatCode="0.00" sourceLinked="1"/>
        <c:majorTickMark val="out"/>
        <c:minorTickMark val="none"/>
        <c:tickLblPos val="nextTo"/>
        <c:crossAx val="1925014063"/>
        <c:crosses val="autoZero"/>
        <c:crossBetween val="between"/>
      </c:valAx>
      <c:catAx>
        <c:axId val="1925014063"/>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501790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[Stock 1.xlsx]PT_52WeekHighLow!PivotTable1</c:name>
    <c:fmtId val="2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Quarterly 52-Week High vs Low</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8000"/>
                  <a:satMod val="103000"/>
                  <a:lumMod val="102000"/>
                  <a:tint val="94000"/>
                </a:schemeClr>
              </a:gs>
              <a:gs pos="50000">
                <a:schemeClr val="accent1">
                  <a:shade val="58000"/>
                  <a:satMod val="110000"/>
                  <a:lumMod val="100000"/>
                  <a:shade val="100000"/>
                </a:schemeClr>
              </a:gs>
              <a:gs pos="100000">
                <a:schemeClr val="accent1">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hade val="86000"/>
                  <a:satMod val="103000"/>
                  <a:lumMod val="102000"/>
                  <a:tint val="94000"/>
                </a:schemeClr>
              </a:gs>
              <a:gs pos="50000">
                <a:schemeClr val="accent1">
                  <a:shade val="86000"/>
                  <a:satMod val="110000"/>
                  <a:lumMod val="100000"/>
                  <a:shade val="100000"/>
                </a:schemeClr>
              </a:gs>
              <a:gs pos="100000">
                <a:schemeClr val="accent1">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tint val="86000"/>
                  <a:satMod val="103000"/>
                  <a:lumMod val="102000"/>
                  <a:tint val="94000"/>
                </a:schemeClr>
              </a:gs>
              <a:gs pos="50000">
                <a:schemeClr val="accent1">
                  <a:tint val="86000"/>
                  <a:satMod val="110000"/>
                  <a:lumMod val="100000"/>
                  <a:shade val="100000"/>
                </a:schemeClr>
              </a:gs>
              <a:gs pos="100000">
                <a:schemeClr val="accent1">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tint val="58000"/>
                  <a:satMod val="103000"/>
                  <a:lumMod val="102000"/>
                  <a:tint val="94000"/>
                </a:schemeClr>
              </a:gs>
              <a:gs pos="50000">
                <a:schemeClr val="accent1">
                  <a:tint val="58000"/>
                  <a:satMod val="110000"/>
                  <a:lumMod val="100000"/>
                  <a:shade val="100000"/>
                </a:schemeClr>
              </a:gs>
              <a:gs pos="100000">
                <a:schemeClr val="accent1">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8000"/>
                  <a:satMod val="103000"/>
                  <a:lumMod val="102000"/>
                  <a:tint val="94000"/>
                </a:schemeClr>
              </a:gs>
              <a:gs pos="50000">
                <a:schemeClr val="accent1">
                  <a:shade val="58000"/>
                  <a:satMod val="110000"/>
                  <a:lumMod val="100000"/>
                  <a:shade val="100000"/>
                </a:schemeClr>
              </a:gs>
              <a:gs pos="100000">
                <a:schemeClr val="accent1">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hade val="86000"/>
                  <a:satMod val="103000"/>
                  <a:lumMod val="102000"/>
                  <a:tint val="94000"/>
                </a:schemeClr>
              </a:gs>
              <a:gs pos="50000">
                <a:schemeClr val="accent1">
                  <a:shade val="86000"/>
                  <a:satMod val="110000"/>
                  <a:lumMod val="100000"/>
                  <a:shade val="100000"/>
                </a:schemeClr>
              </a:gs>
              <a:gs pos="100000">
                <a:schemeClr val="accent1">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tint val="86000"/>
                  <a:satMod val="103000"/>
                  <a:lumMod val="102000"/>
                  <a:tint val="94000"/>
                </a:schemeClr>
              </a:gs>
              <a:gs pos="50000">
                <a:schemeClr val="accent1">
                  <a:tint val="86000"/>
                  <a:satMod val="110000"/>
                  <a:lumMod val="100000"/>
                  <a:shade val="100000"/>
                </a:schemeClr>
              </a:gs>
              <a:gs pos="100000">
                <a:schemeClr val="accent1">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tint val="58000"/>
                  <a:satMod val="103000"/>
                  <a:lumMod val="102000"/>
                  <a:tint val="94000"/>
                </a:schemeClr>
              </a:gs>
              <a:gs pos="50000">
                <a:schemeClr val="accent1">
                  <a:tint val="58000"/>
                  <a:satMod val="110000"/>
                  <a:lumMod val="100000"/>
                  <a:shade val="100000"/>
                </a:schemeClr>
              </a:gs>
              <a:gs pos="100000">
                <a:schemeClr val="accent1">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8000"/>
                  <a:satMod val="103000"/>
                  <a:lumMod val="102000"/>
                  <a:tint val="94000"/>
                </a:schemeClr>
              </a:gs>
              <a:gs pos="50000">
                <a:schemeClr val="accent1">
                  <a:shade val="58000"/>
                  <a:satMod val="110000"/>
                  <a:lumMod val="100000"/>
                  <a:shade val="100000"/>
                </a:schemeClr>
              </a:gs>
              <a:gs pos="100000">
                <a:schemeClr val="accent1">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hade val="58000"/>
                  <a:satMod val="103000"/>
                  <a:lumMod val="102000"/>
                  <a:tint val="94000"/>
                </a:schemeClr>
              </a:gs>
              <a:gs pos="50000">
                <a:schemeClr val="accent1">
                  <a:shade val="58000"/>
                  <a:satMod val="110000"/>
                  <a:lumMod val="100000"/>
                  <a:shade val="100000"/>
                </a:schemeClr>
              </a:gs>
              <a:gs pos="100000">
                <a:schemeClr val="accent1">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hade val="86000"/>
                  <a:satMod val="103000"/>
                  <a:lumMod val="102000"/>
                  <a:tint val="94000"/>
                </a:schemeClr>
              </a:gs>
              <a:gs pos="50000">
                <a:schemeClr val="accent1">
                  <a:shade val="86000"/>
                  <a:satMod val="110000"/>
                  <a:lumMod val="100000"/>
                  <a:shade val="100000"/>
                </a:schemeClr>
              </a:gs>
              <a:gs pos="100000">
                <a:schemeClr val="accent1">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tint val="86000"/>
                  <a:satMod val="103000"/>
                  <a:lumMod val="102000"/>
                  <a:tint val="94000"/>
                </a:schemeClr>
              </a:gs>
              <a:gs pos="50000">
                <a:schemeClr val="accent1">
                  <a:tint val="86000"/>
                  <a:satMod val="110000"/>
                  <a:lumMod val="100000"/>
                  <a:shade val="100000"/>
                </a:schemeClr>
              </a:gs>
              <a:gs pos="100000">
                <a:schemeClr val="accent1">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hade val="58000"/>
                  <a:satMod val="103000"/>
                  <a:lumMod val="102000"/>
                  <a:tint val="94000"/>
                </a:schemeClr>
              </a:gs>
              <a:gs pos="50000">
                <a:schemeClr val="accent1">
                  <a:shade val="58000"/>
                  <a:satMod val="110000"/>
                  <a:lumMod val="100000"/>
                  <a:shade val="100000"/>
                </a:schemeClr>
              </a:gs>
              <a:gs pos="100000">
                <a:schemeClr val="accent1">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hade val="58000"/>
                  <a:satMod val="103000"/>
                  <a:lumMod val="102000"/>
                  <a:tint val="94000"/>
                </a:schemeClr>
              </a:gs>
              <a:gs pos="50000">
                <a:schemeClr val="accent1">
                  <a:shade val="58000"/>
                  <a:satMod val="110000"/>
                  <a:lumMod val="100000"/>
                  <a:shade val="100000"/>
                </a:schemeClr>
              </a:gs>
              <a:gs pos="100000">
                <a:schemeClr val="accent1">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hade val="86000"/>
                  <a:satMod val="103000"/>
                  <a:lumMod val="102000"/>
                  <a:tint val="94000"/>
                </a:schemeClr>
              </a:gs>
              <a:gs pos="50000">
                <a:schemeClr val="accent1">
                  <a:shade val="86000"/>
                  <a:satMod val="110000"/>
                  <a:lumMod val="100000"/>
                  <a:shade val="100000"/>
                </a:schemeClr>
              </a:gs>
              <a:gs pos="100000">
                <a:schemeClr val="accent1">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tint val="86000"/>
                  <a:satMod val="103000"/>
                  <a:lumMod val="102000"/>
                  <a:tint val="94000"/>
                </a:schemeClr>
              </a:gs>
              <a:gs pos="50000">
                <a:schemeClr val="accent1">
                  <a:tint val="86000"/>
                  <a:satMod val="110000"/>
                  <a:lumMod val="100000"/>
                  <a:shade val="100000"/>
                </a:schemeClr>
              </a:gs>
              <a:gs pos="100000">
                <a:schemeClr val="accent1">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PT_52WeekHighLow!$B$3</c:f>
              <c:strCache>
                <c:ptCount val="1"/>
                <c:pt idx="0">
                  <c:v>Sum of 52W L </c:v>
                </c:pt>
              </c:strCache>
            </c:strRef>
          </c:tx>
          <c:dPt>
            <c:idx val="0"/>
            <c:bubble3D val="0"/>
            <c:spPr>
              <a:gradFill rotWithShape="1">
                <a:gsLst>
                  <a:gs pos="0">
                    <a:schemeClr val="accent1">
                      <a:shade val="58000"/>
                      <a:satMod val="103000"/>
                      <a:lumMod val="102000"/>
                      <a:tint val="94000"/>
                    </a:schemeClr>
                  </a:gs>
                  <a:gs pos="50000">
                    <a:schemeClr val="accent1">
                      <a:shade val="58000"/>
                      <a:satMod val="110000"/>
                      <a:lumMod val="100000"/>
                      <a:shade val="100000"/>
                    </a:schemeClr>
                  </a:gs>
                  <a:gs pos="100000">
                    <a:schemeClr val="accent1">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9CA-42A8-BC61-7B4194C16088}"/>
              </c:ext>
            </c:extLst>
          </c:dPt>
          <c:dPt>
            <c:idx val="1"/>
            <c:bubble3D val="0"/>
            <c:spPr>
              <a:gradFill rotWithShape="1">
                <a:gsLst>
                  <a:gs pos="0">
                    <a:schemeClr val="accent1">
                      <a:shade val="58000"/>
                      <a:satMod val="103000"/>
                      <a:lumMod val="102000"/>
                      <a:tint val="94000"/>
                    </a:schemeClr>
                  </a:gs>
                  <a:gs pos="50000">
                    <a:schemeClr val="accent1">
                      <a:shade val="58000"/>
                      <a:satMod val="110000"/>
                      <a:lumMod val="100000"/>
                      <a:shade val="100000"/>
                    </a:schemeClr>
                  </a:gs>
                  <a:gs pos="100000">
                    <a:schemeClr val="accent1">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9CA-42A8-BC61-7B4194C16088}"/>
              </c:ext>
            </c:extLst>
          </c:dPt>
          <c:dPt>
            <c:idx val="2"/>
            <c:bubble3D val="0"/>
            <c:spPr>
              <a:gradFill rotWithShape="1">
                <a:gsLst>
                  <a:gs pos="0">
                    <a:schemeClr val="accent1">
                      <a:shade val="86000"/>
                      <a:satMod val="103000"/>
                      <a:lumMod val="102000"/>
                      <a:tint val="94000"/>
                    </a:schemeClr>
                  </a:gs>
                  <a:gs pos="50000">
                    <a:schemeClr val="accent1">
                      <a:shade val="86000"/>
                      <a:satMod val="110000"/>
                      <a:lumMod val="100000"/>
                      <a:shade val="100000"/>
                    </a:schemeClr>
                  </a:gs>
                  <a:gs pos="100000">
                    <a:schemeClr val="accent1">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9CA-42A8-BC61-7B4194C16088}"/>
              </c:ext>
            </c:extLst>
          </c:dPt>
          <c:dPt>
            <c:idx val="3"/>
            <c:bubble3D val="0"/>
            <c:spPr>
              <a:gradFill rotWithShape="1">
                <a:gsLst>
                  <a:gs pos="0">
                    <a:schemeClr val="accent1">
                      <a:tint val="86000"/>
                      <a:satMod val="103000"/>
                      <a:lumMod val="102000"/>
                      <a:tint val="94000"/>
                    </a:schemeClr>
                  </a:gs>
                  <a:gs pos="50000">
                    <a:schemeClr val="accent1">
                      <a:tint val="86000"/>
                      <a:satMod val="110000"/>
                      <a:lumMod val="100000"/>
                      <a:shade val="100000"/>
                    </a:schemeClr>
                  </a:gs>
                  <a:gs pos="100000">
                    <a:schemeClr val="accent1">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99CA-42A8-BC61-7B4194C1608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PT_52WeekHighLow!$A$4:$A$8</c:f>
              <c:strCache>
                <c:ptCount val="4"/>
                <c:pt idx="0">
                  <c:v>Q1</c:v>
                </c:pt>
                <c:pt idx="1">
                  <c:v>Q2</c:v>
                </c:pt>
                <c:pt idx="2">
                  <c:v>Q3</c:v>
                </c:pt>
                <c:pt idx="3">
                  <c:v>Q4</c:v>
                </c:pt>
              </c:strCache>
            </c:strRef>
          </c:cat>
          <c:val>
            <c:numRef>
              <c:f>PT_52WeekHighLow!$B$4:$B$8</c:f>
              <c:numCache>
                <c:formatCode>0.00</c:formatCode>
                <c:ptCount val="4"/>
                <c:pt idx="0">
                  <c:v>41312.999999999971</c:v>
                </c:pt>
                <c:pt idx="1">
                  <c:v>30543.59999999998</c:v>
                </c:pt>
                <c:pt idx="2">
                  <c:v>38259.699999999975</c:v>
                </c:pt>
                <c:pt idx="3">
                  <c:v>40827.449999999983</c:v>
                </c:pt>
              </c:numCache>
            </c:numRef>
          </c:val>
          <c:extLst>
            <c:ext xmlns:c16="http://schemas.microsoft.com/office/drawing/2014/chart" uri="{C3380CC4-5D6E-409C-BE32-E72D297353CC}">
              <c16:uniqueId val="{00000008-99CA-42A8-BC61-7B4194C16088}"/>
            </c:ext>
          </c:extLst>
        </c:ser>
        <c:ser>
          <c:idx val="1"/>
          <c:order val="1"/>
          <c:tx>
            <c:strRef>
              <c:f>PT_52WeekHighLow!$C$3</c:f>
              <c:strCache>
                <c:ptCount val="1"/>
                <c:pt idx="0">
                  <c:v>Sum of 52W H </c:v>
                </c:pt>
              </c:strCache>
            </c:strRef>
          </c:tx>
          <c:dPt>
            <c:idx val="0"/>
            <c:bubble3D val="0"/>
            <c:spPr>
              <a:gradFill rotWithShape="1">
                <a:gsLst>
                  <a:gs pos="0">
                    <a:schemeClr val="accent1">
                      <a:shade val="58000"/>
                      <a:satMod val="103000"/>
                      <a:lumMod val="102000"/>
                      <a:tint val="94000"/>
                    </a:schemeClr>
                  </a:gs>
                  <a:gs pos="50000">
                    <a:schemeClr val="accent1">
                      <a:shade val="58000"/>
                      <a:satMod val="110000"/>
                      <a:lumMod val="100000"/>
                      <a:shade val="100000"/>
                    </a:schemeClr>
                  </a:gs>
                  <a:gs pos="100000">
                    <a:schemeClr val="accent1">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99CA-42A8-BC61-7B4194C16088}"/>
              </c:ext>
            </c:extLst>
          </c:dPt>
          <c:dPt>
            <c:idx val="1"/>
            <c:bubble3D val="0"/>
            <c:spPr>
              <a:gradFill rotWithShape="1">
                <a:gsLst>
                  <a:gs pos="0">
                    <a:schemeClr val="accent1">
                      <a:shade val="58000"/>
                      <a:satMod val="103000"/>
                      <a:lumMod val="102000"/>
                      <a:tint val="94000"/>
                    </a:schemeClr>
                  </a:gs>
                  <a:gs pos="50000">
                    <a:schemeClr val="accent1">
                      <a:shade val="58000"/>
                      <a:satMod val="110000"/>
                      <a:lumMod val="100000"/>
                      <a:shade val="100000"/>
                    </a:schemeClr>
                  </a:gs>
                  <a:gs pos="100000">
                    <a:schemeClr val="accent1">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99CA-42A8-BC61-7B4194C16088}"/>
              </c:ext>
            </c:extLst>
          </c:dPt>
          <c:dPt>
            <c:idx val="2"/>
            <c:bubble3D val="0"/>
            <c:spPr>
              <a:gradFill rotWithShape="1">
                <a:gsLst>
                  <a:gs pos="0">
                    <a:schemeClr val="accent1">
                      <a:shade val="86000"/>
                      <a:satMod val="103000"/>
                      <a:lumMod val="102000"/>
                      <a:tint val="94000"/>
                    </a:schemeClr>
                  </a:gs>
                  <a:gs pos="50000">
                    <a:schemeClr val="accent1">
                      <a:shade val="86000"/>
                      <a:satMod val="110000"/>
                      <a:lumMod val="100000"/>
                      <a:shade val="100000"/>
                    </a:schemeClr>
                  </a:gs>
                  <a:gs pos="100000">
                    <a:schemeClr val="accent1">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E-99CA-42A8-BC61-7B4194C16088}"/>
              </c:ext>
            </c:extLst>
          </c:dPt>
          <c:dPt>
            <c:idx val="3"/>
            <c:bubble3D val="0"/>
            <c:spPr>
              <a:gradFill rotWithShape="1">
                <a:gsLst>
                  <a:gs pos="0">
                    <a:schemeClr val="accent1">
                      <a:tint val="86000"/>
                      <a:satMod val="103000"/>
                      <a:lumMod val="102000"/>
                      <a:tint val="94000"/>
                    </a:schemeClr>
                  </a:gs>
                  <a:gs pos="50000">
                    <a:schemeClr val="accent1">
                      <a:tint val="86000"/>
                      <a:satMod val="110000"/>
                      <a:lumMod val="100000"/>
                      <a:shade val="100000"/>
                    </a:schemeClr>
                  </a:gs>
                  <a:gs pos="100000">
                    <a:schemeClr val="accent1">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0-99CA-42A8-BC61-7B4194C1608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PT_52WeekHighLow!$A$4:$A$8</c:f>
              <c:strCache>
                <c:ptCount val="4"/>
                <c:pt idx="0">
                  <c:v>Q1</c:v>
                </c:pt>
                <c:pt idx="1">
                  <c:v>Q2</c:v>
                </c:pt>
                <c:pt idx="2">
                  <c:v>Q3</c:v>
                </c:pt>
                <c:pt idx="3">
                  <c:v>Q4</c:v>
                </c:pt>
              </c:strCache>
            </c:strRef>
          </c:cat>
          <c:val>
            <c:numRef>
              <c:f>PT_52WeekHighLow!$C$4:$C$8</c:f>
              <c:numCache>
                <c:formatCode>0.00</c:formatCode>
                <c:ptCount val="4"/>
                <c:pt idx="0">
                  <c:v>73098</c:v>
                </c:pt>
                <c:pt idx="1">
                  <c:v>65001.59999999994</c:v>
                </c:pt>
                <c:pt idx="2">
                  <c:v>73345.600000000035</c:v>
                </c:pt>
                <c:pt idx="3">
                  <c:v>73098</c:v>
                </c:pt>
              </c:numCache>
            </c:numRef>
          </c:val>
          <c:extLst>
            <c:ext xmlns:c16="http://schemas.microsoft.com/office/drawing/2014/chart" uri="{C3380CC4-5D6E-409C-BE32-E72D297353CC}">
              <c16:uniqueId val="{00000011-99CA-42A8-BC61-7B4194C1608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[Stock 1.xlsx]PT_PriceTrend!PivotTable1</c:name>
    <c:fmtId val="36"/>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Daily Closing Price Trend</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PT_PriceTrend!$B$3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PT_PriceTrend!$A$4:$A$252</c:f>
              <c:strCache>
                <c:ptCount val="249"/>
                <c:pt idx="0">
                  <c:v>01-Apr-24</c:v>
                </c:pt>
                <c:pt idx="1">
                  <c:v>02-Apr-24</c:v>
                </c:pt>
                <c:pt idx="2">
                  <c:v>03-Apr-24</c:v>
                </c:pt>
                <c:pt idx="3">
                  <c:v>04-Apr-24</c:v>
                </c:pt>
                <c:pt idx="4">
                  <c:v>05-Apr-24</c:v>
                </c:pt>
                <c:pt idx="5">
                  <c:v>08-Apr-24</c:v>
                </c:pt>
                <c:pt idx="6">
                  <c:v>09-Apr-24</c:v>
                </c:pt>
                <c:pt idx="7">
                  <c:v>10-Apr-24</c:v>
                </c:pt>
                <c:pt idx="8">
                  <c:v>12-Apr-24</c:v>
                </c:pt>
                <c:pt idx="9">
                  <c:v>15-Apr-24</c:v>
                </c:pt>
                <c:pt idx="10">
                  <c:v>16-Apr-24</c:v>
                </c:pt>
                <c:pt idx="11">
                  <c:v>18-Apr-24</c:v>
                </c:pt>
                <c:pt idx="12">
                  <c:v>19-Apr-24</c:v>
                </c:pt>
                <c:pt idx="13">
                  <c:v>22-Apr-24</c:v>
                </c:pt>
                <c:pt idx="14">
                  <c:v>23-Apr-24</c:v>
                </c:pt>
                <c:pt idx="15">
                  <c:v>24-Apr-24</c:v>
                </c:pt>
                <c:pt idx="16">
                  <c:v>25-Apr-24</c:v>
                </c:pt>
                <c:pt idx="17">
                  <c:v>26-Apr-24</c:v>
                </c:pt>
                <c:pt idx="18">
                  <c:v>29-Apr-24</c:v>
                </c:pt>
                <c:pt idx="19">
                  <c:v>30-Apr-24</c:v>
                </c:pt>
                <c:pt idx="20">
                  <c:v>02-May-24</c:v>
                </c:pt>
                <c:pt idx="21">
                  <c:v>03-May-24</c:v>
                </c:pt>
                <c:pt idx="22">
                  <c:v>06-May-24</c:v>
                </c:pt>
                <c:pt idx="23">
                  <c:v>07-May-24</c:v>
                </c:pt>
                <c:pt idx="24">
                  <c:v>08-May-24</c:v>
                </c:pt>
                <c:pt idx="25">
                  <c:v>09-May-24</c:v>
                </c:pt>
                <c:pt idx="26">
                  <c:v>10-May-24</c:v>
                </c:pt>
                <c:pt idx="27">
                  <c:v>13-May-24</c:v>
                </c:pt>
                <c:pt idx="28">
                  <c:v>14-May-24</c:v>
                </c:pt>
                <c:pt idx="29">
                  <c:v>15-May-24</c:v>
                </c:pt>
                <c:pt idx="30">
                  <c:v>16-May-24</c:v>
                </c:pt>
                <c:pt idx="31">
                  <c:v>17-May-24</c:v>
                </c:pt>
                <c:pt idx="32">
                  <c:v>18-May-24</c:v>
                </c:pt>
                <c:pt idx="33">
                  <c:v>21-May-24</c:v>
                </c:pt>
                <c:pt idx="34">
                  <c:v>22-May-24</c:v>
                </c:pt>
                <c:pt idx="35">
                  <c:v>23-May-24</c:v>
                </c:pt>
                <c:pt idx="36">
                  <c:v>24-May-24</c:v>
                </c:pt>
                <c:pt idx="37">
                  <c:v>27-May-24</c:v>
                </c:pt>
                <c:pt idx="38">
                  <c:v>28-May-24</c:v>
                </c:pt>
                <c:pt idx="39">
                  <c:v>29-May-24</c:v>
                </c:pt>
                <c:pt idx="40">
                  <c:v>30-May-24</c:v>
                </c:pt>
                <c:pt idx="41">
                  <c:v>31-May-24</c:v>
                </c:pt>
                <c:pt idx="42">
                  <c:v>03-Jun-24</c:v>
                </c:pt>
                <c:pt idx="43">
                  <c:v>04-Jun-24</c:v>
                </c:pt>
                <c:pt idx="44">
                  <c:v>05-Jun-24</c:v>
                </c:pt>
                <c:pt idx="45">
                  <c:v>06-Jun-24</c:v>
                </c:pt>
                <c:pt idx="46">
                  <c:v>07-Jun-24</c:v>
                </c:pt>
                <c:pt idx="47">
                  <c:v>10-Jun-24</c:v>
                </c:pt>
                <c:pt idx="48">
                  <c:v>11-Jun-24</c:v>
                </c:pt>
                <c:pt idx="49">
                  <c:v>12-Jun-24</c:v>
                </c:pt>
                <c:pt idx="50">
                  <c:v>13-Jun-24</c:v>
                </c:pt>
                <c:pt idx="51">
                  <c:v>14-Jun-24</c:v>
                </c:pt>
                <c:pt idx="52">
                  <c:v>18-Jun-24</c:v>
                </c:pt>
                <c:pt idx="53">
                  <c:v>19-Jun-24</c:v>
                </c:pt>
                <c:pt idx="54">
                  <c:v>20-Jun-24</c:v>
                </c:pt>
                <c:pt idx="55">
                  <c:v>21-Jun-24</c:v>
                </c:pt>
                <c:pt idx="56">
                  <c:v>24-Jun-24</c:v>
                </c:pt>
                <c:pt idx="57">
                  <c:v>25-Jun-24</c:v>
                </c:pt>
                <c:pt idx="58">
                  <c:v>26-Jun-24</c:v>
                </c:pt>
                <c:pt idx="59">
                  <c:v>27-Jun-24</c:v>
                </c:pt>
                <c:pt idx="60">
                  <c:v>28-Jun-24</c:v>
                </c:pt>
                <c:pt idx="61">
                  <c:v>01-Jul-24</c:v>
                </c:pt>
                <c:pt idx="62">
                  <c:v>02-Jul-24</c:v>
                </c:pt>
                <c:pt idx="63">
                  <c:v>03-Jul-24</c:v>
                </c:pt>
                <c:pt idx="64">
                  <c:v>04-Jul-24</c:v>
                </c:pt>
                <c:pt idx="65">
                  <c:v>05-Jul-24</c:v>
                </c:pt>
                <c:pt idx="66">
                  <c:v>08-Jul-24</c:v>
                </c:pt>
                <c:pt idx="67">
                  <c:v>09-Jul-24</c:v>
                </c:pt>
                <c:pt idx="68">
                  <c:v>10-Jul-24</c:v>
                </c:pt>
                <c:pt idx="69">
                  <c:v>11-Jul-24</c:v>
                </c:pt>
                <c:pt idx="70">
                  <c:v>12-Jul-24</c:v>
                </c:pt>
                <c:pt idx="71">
                  <c:v>15-Jul-24</c:v>
                </c:pt>
                <c:pt idx="72">
                  <c:v>16-Jul-24</c:v>
                </c:pt>
                <c:pt idx="73">
                  <c:v>18-Jul-24</c:v>
                </c:pt>
                <c:pt idx="74">
                  <c:v>19-Jul-24</c:v>
                </c:pt>
                <c:pt idx="75">
                  <c:v>22-Jul-24</c:v>
                </c:pt>
                <c:pt idx="76">
                  <c:v>23-Jul-24</c:v>
                </c:pt>
                <c:pt idx="77">
                  <c:v>24-Jul-24</c:v>
                </c:pt>
                <c:pt idx="78">
                  <c:v>25-Jul-24</c:v>
                </c:pt>
                <c:pt idx="79">
                  <c:v>26-Jul-24</c:v>
                </c:pt>
                <c:pt idx="80">
                  <c:v>29-Jul-24</c:v>
                </c:pt>
                <c:pt idx="81">
                  <c:v>30-Jul-24</c:v>
                </c:pt>
                <c:pt idx="82">
                  <c:v>31-Jul-24</c:v>
                </c:pt>
                <c:pt idx="83">
                  <c:v>01-Aug-24</c:v>
                </c:pt>
                <c:pt idx="84">
                  <c:v>02-Aug-24</c:v>
                </c:pt>
                <c:pt idx="85">
                  <c:v>05-Aug-24</c:v>
                </c:pt>
                <c:pt idx="86">
                  <c:v>06-Aug-24</c:v>
                </c:pt>
                <c:pt idx="87">
                  <c:v>07-Aug-24</c:v>
                </c:pt>
                <c:pt idx="88">
                  <c:v>08-Aug-24</c:v>
                </c:pt>
                <c:pt idx="89">
                  <c:v>09-Aug-24</c:v>
                </c:pt>
                <c:pt idx="90">
                  <c:v>12-Aug-24</c:v>
                </c:pt>
                <c:pt idx="91">
                  <c:v>13-Aug-24</c:v>
                </c:pt>
                <c:pt idx="92">
                  <c:v>14-Aug-24</c:v>
                </c:pt>
                <c:pt idx="93">
                  <c:v>16-Aug-24</c:v>
                </c:pt>
                <c:pt idx="94">
                  <c:v>19-Aug-24</c:v>
                </c:pt>
                <c:pt idx="95">
                  <c:v>20-Aug-24</c:v>
                </c:pt>
                <c:pt idx="96">
                  <c:v>21-Aug-24</c:v>
                </c:pt>
                <c:pt idx="97">
                  <c:v>22-Aug-24</c:v>
                </c:pt>
                <c:pt idx="98">
                  <c:v>23-Aug-24</c:v>
                </c:pt>
                <c:pt idx="99">
                  <c:v>26-Aug-24</c:v>
                </c:pt>
                <c:pt idx="100">
                  <c:v>27-Aug-24</c:v>
                </c:pt>
                <c:pt idx="101">
                  <c:v>28-Aug-24</c:v>
                </c:pt>
                <c:pt idx="102">
                  <c:v>29-Aug-24</c:v>
                </c:pt>
                <c:pt idx="103">
                  <c:v>30-Aug-24</c:v>
                </c:pt>
                <c:pt idx="104">
                  <c:v>02-Sep-24</c:v>
                </c:pt>
                <c:pt idx="105">
                  <c:v>03-Sep-24</c:v>
                </c:pt>
                <c:pt idx="106">
                  <c:v>04-Sep-24</c:v>
                </c:pt>
                <c:pt idx="107">
                  <c:v>05-Sep-24</c:v>
                </c:pt>
                <c:pt idx="108">
                  <c:v>06-Sep-24</c:v>
                </c:pt>
                <c:pt idx="109">
                  <c:v>09-Sep-24</c:v>
                </c:pt>
                <c:pt idx="110">
                  <c:v>10-Sep-24</c:v>
                </c:pt>
                <c:pt idx="111">
                  <c:v>11-Sep-24</c:v>
                </c:pt>
                <c:pt idx="112">
                  <c:v>12-Sep-24</c:v>
                </c:pt>
                <c:pt idx="113">
                  <c:v>13-Sep-24</c:v>
                </c:pt>
                <c:pt idx="114">
                  <c:v>16-Sep-24</c:v>
                </c:pt>
                <c:pt idx="115">
                  <c:v>17-Sep-24</c:v>
                </c:pt>
                <c:pt idx="116">
                  <c:v>18-Sep-24</c:v>
                </c:pt>
                <c:pt idx="117">
                  <c:v>19-Sep-24</c:v>
                </c:pt>
                <c:pt idx="118">
                  <c:v>20-Sep-24</c:v>
                </c:pt>
                <c:pt idx="119">
                  <c:v>23-Sep-24</c:v>
                </c:pt>
                <c:pt idx="120">
                  <c:v>24-Sep-24</c:v>
                </c:pt>
                <c:pt idx="121">
                  <c:v>25-Sep-24</c:v>
                </c:pt>
                <c:pt idx="122">
                  <c:v>26-Sep-24</c:v>
                </c:pt>
                <c:pt idx="123">
                  <c:v>27-Sep-24</c:v>
                </c:pt>
                <c:pt idx="124">
                  <c:v>30-Sep-24</c:v>
                </c:pt>
                <c:pt idx="125">
                  <c:v>01-Oct-24</c:v>
                </c:pt>
                <c:pt idx="126">
                  <c:v>03-Oct-24</c:v>
                </c:pt>
                <c:pt idx="127">
                  <c:v>04-Oct-24</c:v>
                </c:pt>
                <c:pt idx="128">
                  <c:v>07-Oct-24</c:v>
                </c:pt>
                <c:pt idx="129">
                  <c:v>08-Oct-24</c:v>
                </c:pt>
                <c:pt idx="130">
                  <c:v>09-Oct-24</c:v>
                </c:pt>
                <c:pt idx="131">
                  <c:v>10-Oct-24</c:v>
                </c:pt>
                <c:pt idx="132">
                  <c:v>11-Oct-24</c:v>
                </c:pt>
                <c:pt idx="133">
                  <c:v>14-Oct-24</c:v>
                </c:pt>
                <c:pt idx="134">
                  <c:v>15-Oct-24</c:v>
                </c:pt>
                <c:pt idx="135">
                  <c:v>16-Oct-24</c:v>
                </c:pt>
                <c:pt idx="136">
                  <c:v>17-Oct-24</c:v>
                </c:pt>
                <c:pt idx="137">
                  <c:v>18-Oct-24</c:v>
                </c:pt>
                <c:pt idx="138">
                  <c:v>21-Oct-24</c:v>
                </c:pt>
                <c:pt idx="139">
                  <c:v>22-Oct-24</c:v>
                </c:pt>
                <c:pt idx="140">
                  <c:v>23-Oct-24</c:v>
                </c:pt>
                <c:pt idx="141">
                  <c:v>24-Oct-24</c:v>
                </c:pt>
                <c:pt idx="142">
                  <c:v>25-Oct-24</c:v>
                </c:pt>
                <c:pt idx="143">
                  <c:v>28-Oct-24</c:v>
                </c:pt>
                <c:pt idx="144">
                  <c:v>29-Oct-24</c:v>
                </c:pt>
                <c:pt idx="145">
                  <c:v>30-Oct-24</c:v>
                </c:pt>
                <c:pt idx="146">
                  <c:v>31-Oct-24</c:v>
                </c:pt>
                <c:pt idx="147">
                  <c:v>01-Nov-24</c:v>
                </c:pt>
                <c:pt idx="148">
                  <c:v>04-Nov-24</c:v>
                </c:pt>
                <c:pt idx="149">
                  <c:v>05-Nov-24</c:v>
                </c:pt>
                <c:pt idx="150">
                  <c:v>06-Nov-24</c:v>
                </c:pt>
                <c:pt idx="151">
                  <c:v>07-Nov-24</c:v>
                </c:pt>
                <c:pt idx="152">
                  <c:v>08-Nov-24</c:v>
                </c:pt>
                <c:pt idx="153">
                  <c:v>11-Nov-24</c:v>
                </c:pt>
                <c:pt idx="154">
                  <c:v>12-Nov-24</c:v>
                </c:pt>
                <c:pt idx="155">
                  <c:v>13-Nov-24</c:v>
                </c:pt>
                <c:pt idx="156">
                  <c:v>14-Nov-24</c:v>
                </c:pt>
                <c:pt idx="157">
                  <c:v>18-Nov-24</c:v>
                </c:pt>
                <c:pt idx="158">
                  <c:v>19-Nov-24</c:v>
                </c:pt>
                <c:pt idx="159">
                  <c:v>21-Nov-24</c:v>
                </c:pt>
                <c:pt idx="160">
                  <c:v>22-Nov-24</c:v>
                </c:pt>
                <c:pt idx="161">
                  <c:v>25-Nov-24</c:v>
                </c:pt>
                <c:pt idx="162">
                  <c:v>26-Nov-24</c:v>
                </c:pt>
                <c:pt idx="163">
                  <c:v>27-Nov-24</c:v>
                </c:pt>
                <c:pt idx="164">
                  <c:v>28-Nov-24</c:v>
                </c:pt>
                <c:pt idx="165">
                  <c:v>29-Nov-24</c:v>
                </c:pt>
                <c:pt idx="166">
                  <c:v>02-Dec-24</c:v>
                </c:pt>
                <c:pt idx="167">
                  <c:v>03-Dec-24</c:v>
                </c:pt>
                <c:pt idx="168">
                  <c:v>04-Dec-24</c:v>
                </c:pt>
                <c:pt idx="169">
                  <c:v>05-Dec-24</c:v>
                </c:pt>
                <c:pt idx="170">
                  <c:v>06-Dec-24</c:v>
                </c:pt>
                <c:pt idx="171">
                  <c:v>09-Dec-24</c:v>
                </c:pt>
                <c:pt idx="172">
                  <c:v>10-Dec-24</c:v>
                </c:pt>
                <c:pt idx="173">
                  <c:v>11-Dec-24</c:v>
                </c:pt>
                <c:pt idx="174">
                  <c:v>12-Dec-24</c:v>
                </c:pt>
                <c:pt idx="175">
                  <c:v>13-Dec-24</c:v>
                </c:pt>
                <c:pt idx="176">
                  <c:v>16-Dec-24</c:v>
                </c:pt>
                <c:pt idx="177">
                  <c:v>17-Dec-24</c:v>
                </c:pt>
                <c:pt idx="178">
                  <c:v>18-Dec-24</c:v>
                </c:pt>
                <c:pt idx="179">
                  <c:v>19-Dec-24</c:v>
                </c:pt>
                <c:pt idx="180">
                  <c:v>20-Dec-24</c:v>
                </c:pt>
                <c:pt idx="181">
                  <c:v>23-Dec-24</c:v>
                </c:pt>
                <c:pt idx="182">
                  <c:v>24-Dec-24</c:v>
                </c:pt>
                <c:pt idx="183">
                  <c:v>26-Dec-24</c:v>
                </c:pt>
                <c:pt idx="184">
                  <c:v>27-Dec-24</c:v>
                </c:pt>
                <c:pt idx="185">
                  <c:v>30-Dec-24</c:v>
                </c:pt>
                <c:pt idx="186">
                  <c:v>31-Dec-24</c:v>
                </c:pt>
                <c:pt idx="187">
                  <c:v>01-Jan-25</c:v>
                </c:pt>
                <c:pt idx="188">
                  <c:v>02-Jan-25</c:v>
                </c:pt>
                <c:pt idx="189">
                  <c:v>03-Jan-25</c:v>
                </c:pt>
                <c:pt idx="190">
                  <c:v>06-Jan-25</c:v>
                </c:pt>
                <c:pt idx="191">
                  <c:v>07-Jan-25</c:v>
                </c:pt>
                <c:pt idx="192">
                  <c:v>08-Jan-25</c:v>
                </c:pt>
                <c:pt idx="193">
                  <c:v>09-Jan-25</c:v>
                </c:pt>
                <c:pt idx="194">
                  <c:v>10-Jan-25</c:v>
                </c:pt>
                <c:pt idx="195">
                  <c:v>13-Jan-25</c:v>
                </c:pt>
                <c:pt idx="196">
                  <c:v>14-Jan-25</c:v>
                </c:pt>
                <c:pt idx="197">
                  <c:v>15-Jan-25</c:v>
                </c:pt>
                <c:pt idx="198">
                  <c:v>16-Jan-25</c:v>
                </c:pt>
                <c:pt idx="199">
                  <c:v>17-Jan-25</c:v>
                </c:pt>
                <c:pt idx="200">
                  <c:v>20-Jan-25</c:v>
                </c:pt>
                <c:pt idx="201">
                  <c:v>21-Jan-25</c:v>
                </c:pt>
                <c:pt idx="202">
                  <c:v>22-Jan-25</c:v>
                </c:pt>
                <c:pt idx="203">
                  <c:v>23-Jan-25</c:v>
                </c:pt>
                <c:pt idx="204">
                  <c:v>24-Jan-25</c:v>
                </c:pt>
                <c:pt idx="205">
                  <c:v>27-Jan-25</c:v>
                </c:pt>
                <c:pt idx="206">
                  <c:v>28-Jan-25</c:v>
                </c:pt>
                <c:pt idx="207">
                  <c:v>29-Jan-25</c:v>
                </c:pt>
                <c:pt idx="208">
                  <c:v>30-Jan-25</c:v>
                </c:pt>
                <c:pt idx="209">
                  <c:v>31-Jan-25</c:v>
                </c:pt>
                <c:pt idx="210">
                  <c:v>01-Feb-25</c:v>
                </c:pt>
                <c:pt idx="211">
                  <c:v>03-Feb-25</c:v>
                </c:pt>
                <c:pt idx="212">
                  <c:v>04-Feb-25</c:v>
                </c:pt>
                <c:pt idx="213">
                  <c:v>05-Feb-25</c:v>
                </c:pt>
                <c:pt idx="214">
                  <c:v>06-Feb-25</c:v>
                </c:pt>
                <c:pt idx="215">
                  <c:v>07-Feb-25</c:v>
                </c:pt>
                <c:pt idx="216">
                  <c:v>10-Feb-25</c:v>
                </c:pt>
                <c:pt idx="217">
                  <c:v>11-Feb-25</c:v>
                </c:pt>
                <c:pt idx="218">
                  <c:v>12-Feb-25</c:v>
                </c:pt>
                <c:pt idx="219">
                  <c:v>13-Feb-25</c:v>
                </c:pt>
                <c:pt idx="220">
                  <c:v>14-Feb-25</c:v>
                </c:pt>
                <c:pt idx="221">
                  <c:v>17-Feb-25</c:v>
                </c:pt>
                <c:pt idx="222">
                  <c:v>18-Feb-25</c:v>
                </c:pt>
                <c:pt idx="223">
                  <c:v>19-Feb-25</c:v>
                </c:pt>
                <c:pt idx="224">
                  <c:v>20-Feb-25</c:v>
                </c:pt>
                <c:pt idx="225">
                  <c:v>21-Feb-25</c:v>
                </c:pt>
                <c:pt idx="226">
                  <c:v>24-Feb-25</c:v>
                </c:pt>
                <c:pt idx="227">
                  <c:v>25-Feb-25</c:v>
                </c:pt>
                <c:pt idx="228">
                  <c:v>27-Feb-25</c:v>
                </c:pt>
                <c:pt idx="229">
                  <c:v>28-Feb-25</c:v>
                </c:pt>
                <c:pt idx="230">
                  <c:v>03-Mar-25</c:v>
                </c:pt>
                <c:pt idx="231">
                  <c:v>04-Mar-25</c:v>
                </c:pt>
                <c:pt idx="232">
                  <c:v>05-Mar-25</c:v>
                </c:pt>
                <c:pt idx="233">
                  <c:v>06-Mar-25</c:v>
                </c:pt>
                <c:pt idx="234">
                  <c:v>07-Mar-25</c:v>
                </c:pt>
                <c:pt idx="235">
                  <c:v>10-Mar-25</c:v>
                </c:pt>
                <c:pt idx="236">
                  <c:v>11-Mar-25</c:v>
                </c:pt>
                <c:pt idx="237">
                  <c:v>12-Mar-25</c:v>
                </c:pt>
                <c:pt idx="238">
                  <c:v>13-Mar-25</c:v>
                </c:pt>
                <c:pt idx="239">
                  <c:v>17-Mar-25</c:v>
                </c:pt>
                <c:pt idx="240">
                  <c:v>18-Mar-25</c:v>
                </c:pt>
                <c:pt idx="241">
                  <c:v>19-Mar-25</c:v>
                </c:pt>
                <c:pt idx="242">
                  <c:v>20-Mar-25</c:v>
                </c:pt>
                <c:pt idx="243">
                  <c:v>21-Mar-25</c:v>
                </c:pt>
                <c:pt idx="244">
                  <c:v>24-Mar-25</c:v>
                </c:pt>
                <c:pt idx="245">
                  <c:v>25-Mar-25</c:v>
                </c:pt>
                <c:pt idx="246">
                  <c:v>26-Mar-25</c:v>
                </c:pt>
                <c:pt idx="247">
                  <c:v>27-Mar-25</c:v>
                </c:pt>
                <c:pt idx="248">
                  <c:v>28-Mar-25</c:v>
                </c:pt>
              </c:strCache>
            </c:strRef>
          </c:cat>
          <c:val>
            <c:numRef>
              <c:f>PT_PriceTrend!$B$4:$B$252</c:f>
              <c:numCache>
                <c:formatCode>0.00</c:formatCode>
                <c:ptCount val="249"/>
                <c:pt idx="0">
                  <c:v>992.25</c:v>
                </c:pt>
                <c:pt idx="1">
                  <c:v>1004.65</c:v>
                </c:pt>
                <c:pt idx="2">
                  <c:v>1009.15</c:v>
                </c:pt>
                <c:pt idx="3">
                  <c:v>1011.6</c:v>
                </c:pt>
                <c:pt idx="4">
                  <c:v>1007.1</c:v>
                </c:pt>
                <c:pt idx="5">
                  <c:v>1013.2</c:v>
                </c:pt>
                <c:pt idx="6">
                  <c:v>1008.5</c:v>
                </c:pt>
                <c:pt idx="7">
                  <c:v>1013.5</c:v>
                </c:pt>
                <c:pt idx="8">
                  <c:v>1018.5</c:v>
                </c:pt>
                <c:pt idx="9">
                  <c:v>998.8</c:v>
                </c:pt>
                <c:pt idx="10">
                  <c:v>992.8</c:v>
                </c:pt>
                <c:pt idx="11">
                  <c:v>971.35</c:v>
                </c:pt>
                <c:pt idx="12">
                  <c:v>963.2</c:v>
                </c:pt>
                <c:pt idx="13">
                  <c:v>973.55</c:v>
                </c:pt>
                <c:pt idx="14">
                  <c:v>986.75</c:v>
                </c:pt>
                <c:pt idx="15">
                  <c:v>991.65</c:v>
                </c:pt>
                <c:pt idx="16">
                  <c:v>1001.25</c:v>
                </c:pt>
                <c:pt idx="17">
                  <c:v>999.5</c:v>
                </c:pt>
                <c:pt idx="18">
                  <c:v>1000.6</c:v>
                </c:pt>
                <c:pt idx="19">
                  <c:v>1007.9</c:v>
                </c:pt>
                <c:pt idx="20">
                  <c:v>1027.8</c:v>
                </c:pt>
                <c:pt idx="21">
                  <c:v>1013.4</c:v>
                </c:pt>
                <c:pt idx="22">
                  <c:v>1016.2</c:v>
                </c:pt>
                <c:pt idx="23">
                  <c:v>988.55</c:v>
                </c:pt>
                <c:pt idx="24">
                  <c:v>1012.1</c:v>
                </c:pt>
                <c:pt idx="25">
                  <c:v>1030.3</c:v>
                </c:pt>
                <c:pt idx="26">
                  <c:v>1046.6500000000001</c:v>
                </c:pt>
                <c:pt idx="27">
                  <c:v>959.75</c:v>
                </c:pt>
                <c:pt idx="28">
                  <c:v>964.65</c:v>
                </c:pt>
                <c:pt idx="29">
                  <c:v>947.3</c:v>
                </c:pt>
                <c:pt idx="30">
                  <c:v>936.4</c:v>
                </c:pt>
                <c:pt idx="31">
                  <c:v>945.7</c:v>
                </c:pt>
                <c:pt idx="32">
                  <c:v>953.95</c:v>
                </c:pt>
                <c:pt idx="33">
                  <c:v>951.3</c:v>
                </c:pt>
                <c:pt idx="34">
                  <c:v>947.5</c:v>
                </c:pt>
                <c:pt idx="35">
                  <c:v>962.35</c:v>
                </c:pt>
                <c:pt idx="36">
                  <c:v>960.55</c:v>
                </c:pt>
                <c:pt idx="37">
                  <c:v>958.5</c:v>
                </c:pt>
                <c:pt idx="38">
                  <c:v>947.55</c:v>
                </c:pt>
                <c:pt idx="39">
                  <c:v>943.6</c:v>
                </c:pt>
                <c:pt idx="40">
                  <c:v>923.95</c:v>
                </c:pt>
                <c:pt idx="41">
                  <c:v>923</c:v>
                </c:pt>
                <c:pt idx="42">
                  <c:v>950.45</c:v>
                </c:pt>
                <c:pt idx="43">
                  <c:v>903.9</c:v>
                </c:pt>
                <c:pt idx="44">
                  <c:v>929.95</c:v>
                </c:pt>
                <c:pt idx="45">
                  <c:v>938.25</c:v>
                </c:pt>
                <c:pt idx="46">
                  <c:v>970.5</c:v>
                </c:pt>
                <c:pt idx="47">
                  <c:v>975.15</c:v>
                </c:pt>
                <c:pt idx="48">
                  <c:v>987.1</c:v>
                </c:pt>
                <c:pt idx="49">
                  <c:v>988.7</c:v>
                </c:pt>
                <c:pt idx="50">
                  <c:v>985.85</c:v>
                </c:pt>
                <c:pt idx="51">
                  <c:v>993.4</c:v>
                </c:pt>
                <c:pt idx="52">
                  <c:v>985.9</c:v>
                </c:pt>
                <c:pt idx="53">
                  <c:v>977.35</c:v>
                </c:pt>
                <c:pt idx="54">
                  <c:v>978.25</c:v>
                </c:pt>
                <c:pt idx="55">
                  <c:v>961.8</c:v>
                </c:pt>
                <c:pt idx="56">
                  <c:v>958.05</c:v>
                </c:pt>
                <c:pt idx="57">
                  <c:v>955</c:v>
                </c:pt>
                <c:pt idx="58">
                  <c:v>951.85</c:v>
                </c:pt>
                <c:pt idx="59">
                  <c:v>972.1</c:v>
                </c:pt>
                <c:pt idx="60">
                  <c:v>989.75</c:v>
                </c:pt>
                <c:pt idx="61">
                  <c:v>1002.05</c:v>
                </c:pt>
                <c:pt idx="62">
                  <c:v>981.3</c:v>
                </c:pt>
                <c:pt idx="63">
                  <c:v>975.65</c:v>
                </c:pt>
                <c:pt idx="64">
                  <c:v>998.2</c:v>
                </c:pt>
                <c:pt idx="65">
                  <c:v>993.65</c:v>
                </c:pt>
                <c:pt idx="66">
                  <c:v>1002.6</c:v>
                </c:pt>
                <c:pt idx="67">
                  <c:v>1014.95</c:v>
                </c:pt>
                <c:pt idx="68">
                  <c:v>1005.5</c:v>
                </c:pt>
                <c:pt idx="69">
                  <c:v>1020.8</c:v>
                </c:pt>
                <c:pt idx="70">
                  <c:v>1016.75</c:v>
                </c:pt>
                <c:pt idx="71">
                  <c:v>1024.45</c:v>
                </c:pt>
                <c:pt idx="72">
                  <c:v>1021.15</c:v>
                </c:pt>
                <c:pt idx="73">
                  <c:v>1024.55</c:v>
                </c:pt>
                <c:pt idx="74">
                  <c:v>990</c:v>
                </c:pt>
                <c:pt idx="75">
                  <c:v>1003.15</c:v>
                </c:pt>
                <c:pt idx="76">
                  <c:v>1001.8</c:v>
                </c:pt>
                <c:pt idx="77">
                  <c:v>1027.7</c:v>
                </c:pt>
                <c:pt idx="78">
                  <c:v>1090.95</c:v>
                </c:pt>
                <c:pt idx="79">
                  <c:v>1118.3</c:v>
                </c:pt>
                <c:pt idx="80">
                  <c:v>1124</c:v>
                </c:pt>
                <c:pt idx="81">
                  <c:v>1161.8499999999999</c:v>
                </c:pt>
                <c:pt idx="82">
                  <c:v>1156.6500000000001</c:v>
                </c:pt>
                <c:pt idx="83">
                  <c:v>1144.4000000000001</c:v>
                </c:pt>
                <c:pt idx="84">
                  <c:v>1096.6500000000001</c:v>
                </c:pt>
                <c:pt idx="85">
                  <c:v>1016.45</c:v>
                </c:pt>
                <c:pt idx="86">
                  <c:v>1013.75</c:v>
                </c:pt>
                <c:pt idx="87">
                  <c:v>1025.3</c:v>
                </c:pt>
                <c:pt idx="88">
                  <c:v>1041.75</c:v>
                </c:pt>
                <c:pt idx="89">
                  <c:v>1068.0999999999999</c:v>
                </c:pt>
                <c:pt idx="90">
                  <c:v>1076.1500000000001</c:v>
                </c:pt>
                <c:pt idx="91">
                  <c:v>1053.45</c:v>
                </c:pt>
                <c:pt idx="92">
                  <c:v>1062.3499999999999</c:v>
                </c:pt>
                <c:pt idx="93">
                  <c:v>1098.3499999999999</c:v>
                </c:pt>
                <c:pt idx="94">
                  <c:v>1087.7</c:v>
                </c:pt>
                <c:pt idx="95">
                  <c:v>1086.9000000000001</c:v>
                </c:pt>
                <c:pt idx="96">
                  <c:v>1085.2</c:v>
                </c:pt>
                <c:pt idx="97">
                  <c:v>1068.45</c:v>
                </c:pt>
                <c:pt idx="98">
                  <c:v>1085.1500000000001</c:v>
                </c:pt>
                <c:pt idx="99">
                  <c:v>1092.4000000000001</c:v>
                </c:pt>
                <c:pt idx="100">
                  <c:v>1077.25</c:v>
                </c:pt>
                <c:pt idx="101">
                  <c:v>1074.55</c:v>
                </c:pt>
                <c:pt idx="102">
                  <c:v>1121.6500000000001</c:v>
                </c:pt>
                <c:pt idx="103">
                  <c:v>1111.3499999999999</c:v>
                </c:pt>
                <c:pt idx="104">
                  <c:v>1092.6500000000001</c:v>
                </c:pt>
                <c:pt idx="105">
                  <c:v>1085.0999999999999</c:v>
                </c:pt>
                <c:pt idx="106">
                  <c:v>1080.45</c:v>
                </c:pt>
                <c:pt idx="107">
                  <c:v>1069.1500000000001</c:v>
                </c:pt>
                <c:pt idx="108">
                  <c:v>1049.3499999999999</c:v>
                </c:pt>
                <c:pt idx="109">
                  <c:v>1038.7</c:v>
                </c:pt>
                <c:pt idx="110">
                  <c:v>1035.8</c:v>
                </c:pt>
                <c:pt idx="111">
                  <c:v>976.3</c:v>
                </c:pt>
                <c:pt idx="112">
                  <c:v>986.15</c:v>
                </c:pt>
                <c:pt idx="113">
                  <c:v>992.1</c:v>
                </c:pt>
                <c:pt idx="114">
                  <c:v>988.4</c:v>
                </c:pt>
                <c:pt idx="115">
                  <c:v>974.95</c:v>
                </c:pt>
                <c:pt idx="116">
                  <c:v>962.05</c:v>
                </c:pt>
                <c:pt idx="117">
                  <c:v>967</c:v>
                </c:pt>
                <c:pt idx="118">
                  <c:v>970.85</c:v>
                </c:pt>
                <c:pt idx="119">
                  <c:v>971.8</c:v>
                </c:pt>
                <c:pt idx="120">
                  <c:v>977.3</c:v>
                </c:pt>
                <c:pt idx="121">
                  <c:v>963.6</c:v>
                </c:pt>
                <c:pt idx="122">
                  <c:v>993.15</c:v>
                </c:pt>
                <c:pt idx="123">
                  <c:v>993</c:v>
                </c:pt>
                <c:pt idx="124">
                  <c:v>974.65</c:v>
                </c:pt>
                <c:pt idx="125">
                  <c:v>965.2</c:v>
                </c:pt>
                <c:pt idx="126">
                  <c:v>925.7</c:v>
                </c:pt>
                <c:pt idx="127">
                  <c:v>930.75</c:v>
                </c:pt>
                <c:pt idx="128">
                  <c:v>927.85</c:v>
                </c:pt>
                <c:pt idx="129">
                  <c:v>919.8</c:v>
                </c:pt>
                <c:pt idx="130">
                  <c:v>939.15</c:v>
                </c:pt>
                <c:pt idx="131">
                  <c:v>928.5</c:v>
                </c:pt>
                <c:pt idx="132">
                  <c:v>930.7</c:v>
                </c:pt>
                <c:pt idx="133">
                  <c:v>928.25</c:v>
                </c:pt>
                <c:pt idx="134">
                  <c:v>917.3</c:v>
                </c:pt>
                <c:pt idx="135">
                  <c:v>907.45</c:v>
                </c:pt>
                <c:pt idx="136">
                  <c:v>891.6</c:v>
                </c:pt>
                <c:pt idx="137">
                  <c:v>910.15</c:v>
                </c:pt>
                <c:pt idx="138">
                  <c:v>903.3</c:v>
                </c:pt>
                <c:pt idx="139">
                  <c:v>879.5</c:v>
                </c:pt>
                <c:pt idx="140">
                  <c:v>877.65</c:v>
                </c:pt>
                <c:pt idx="141">
                  <c:v>880</c:v>
                </c:pt>
                <c:pt idx="142">
                  <c:v>864.3</c:v>
                </c:pt>
                <c:pt idx="143">
                  <c:v>878.45</c:v>
                </c:pt>
                <c:pt idx="144">
                  <c:v>842.75</c:v>
                </c:pt>
                <c:pt idx="145">
                  <c:v>840.2</c:v>
                </c:pt>
                <c:pt idx="146">
                  <c:v>834.05</c:v>
                </c:pt>
                <c:pt idx="147">
                  <c:v>843.45</c:v>
                </c:pt>
                <c:pt idx="148">
                  <c:v>824.1</c:v>
                </c:pt>
                <c:pt idx="149">
                  <c:v>835.65</c:v>
                </c:pt>
                <c:pt idx="150">
                  <c:v>839.7</c:v>
                </c:pt>
                <c:pt idx="151">
                  <c:v>819.75</c:v>
                </c:pt>
                <c:pt idx="152">
                  <c:v>805.45</c:v>
                </c:pt>
                <c:pt idx="153">
                  <c:v>804.7</c:v>
                </c:pt>
                <c:pt idx="154">
                  <c:v>784.85</c:v>
                </c:pt>
                <c:pt idx="155">
                  <c:v>786.25</c:v>
                </c:pt>
                <c:pt idx="156">
                  <c:v>774.3</c:v>
                </c:pt>
                <c:pt idx="157">
                  <c:v>771.9</c:v>
                </c:pt>
                <c:pt idx="158">
                  <c:v>783.2</c:v>
                </c:pt>
                <c:pt idx="159">
                  <c:v>773.85</c:v>
                </c:pt>
                <c:pt idx="160">
                  <c:v>791</c:v>
                </c:pt>
                <c:pt idx="161">
                  <c:v>796.6</c:v>
                </c:pt>
                <c:pt idx="162">
                  <c:v>783</c:v>
                </c:pt>
                <c:pt idx="163">
                  <c:v>783.95</c:v>
                </c:pt>
                <c:pt idx="164">
                  <c:v>779.45</c:v>
                </c:pt>
                <c:pt idx="165">
                  <c:v>786.45</c:v>
                </c:pt>
                <c:pt idx="166">
                  <c:v>790.05</c:v>
                </c:pt>
                <c:pt idx="167">
                  <c:v>801.25</c:v>
                </c:pt>
                <c:pt idx="168">
                  <c:v>788.1</c:v>
                </c:pt>
                <c:pt idx="169">
                  <c:v>792.55</c:v>
                </c:pt>
                <c:pt idx="170">
                  <c:v>816.8</c:v>
                </c:pt>
                <c:pt idx="171">
                  <c:v>798.75</c:v>
                </c:pt>
                <c:pt idx="172">
                  <c:v>799.9</c:v>
                </c:pt>
                <c:pt idx="173">
                  <c:v>799.1</c:v>
                </c:pt>
                <c:pt idx="174">
                  <c:v>786.35</c:v>
                </c:pt>
                <c:pt idx="175">
                  <c:v>790.3</c:v>
                </c:pt>
                <c:pt idx="176">
                  <c:v>784.8</c:v>
                </c:pt>
                <c:pt idx="177">
                  <c:v>779.75</c:v>
                </c:pt>
                <c:pt idx="178">
                  <c:v>755.7</c:v>
                </c:pt>
                <c:pt idx="179">
                  <c:v>744.05</c:v>
                </c:pt>
                <c:pt idx="180">
                  <c:v>724.05</c:v>
                </c:pt>
                <c:pt idx="181">
                  <c:v>722.2</c:v>
                </c:pt>
                <c:pt idx="182">
                  <c:v>736.1</c:v>
                </c:pt>
                <c:pt idx="183">
                  <c:v>740.8</c:v>
                </c:pt>
                <c:pt idx="184">
                  <c:v>750.5</c:v>
                </c:pt>
                <c:pt idx="185">
                  <c:v>733.65</c:v>
                </c:pt>
                <c:pt idx="186">
                  <c:v>740.15</c:v>
                </c:pt>
                <c:pt idx="187">
                  <c:v>749.25</c:v>
                </c:pt>
                <c:pt idx="188">
                  <c:v>765.05</c:v>
                </c:pt>
                <c:pt idx="189">
                  <c:v>790.4</c:v>
                </c:pt>
                <c:pt idx="190">
                  <c:v>776.25</c:v>
                </c:pt>
                <c:pt idx="191">
                  <c:v>793.25</c:v>
                </c:pt>
                <c:pt idx="192">
                  <c:v>794.95</c:v>
                </c:pt>
                <c:pt idx="193">
                  <c:v>780.1</c:v>
                </c:pt>
                <c:pt idx="194">
                  <c:v>774.65</c:v>
                </c:pt>
                <c:pt idx="195">
                  <c:v>751</c:v>
                </c:pt>
                <c:pt idx="196">
                  <c:v>770.5</c:v>
                </c:pt>
                <c:pt idx="197">
                  <c:v>763.6</c:v>
                </c:pt>
                <c:pt idx="198">
                  <c:v>774.35</c:v>
                </c:pt>
                <c:pt idx="199">
                  <c:v>779.75</c:v>
                </c:pt>
                <c:pt idx="200">
                  <c:v>774.35</c:v>
                </c:pt>
                <c:pt idx="201">
                  <c:v>760.75</c:v>
                </c:pt>
                <c:pt idx="202">
                  <c:v>742.75</c:v>
                </c:pt>
                <c:pt idx="203">
                  <c:v>752.5</c:v>
                </c:pt>
                <c:pt idx="204">
                  <c:v>734.1</c:v>
                </c:pt>
                <c:pt idx="205">
                  <c:v>713.05</c:v>
                </c:pt>
                <c:pt idx="206">
                  <c:v>728.25</c:v>
                </c:pt>
                <c:pt idx="207">
                  <c:v>752.5</c:v>
                </c:pt>
                <c:pt idx="208">
                  <c:v>696.85</c:v>
                </c:pt>
                <c:pt idx="209">
                  <c:v>716.1</c:v>
                </c:pt>
                <c:pt idx="210">
                  <c:v>706.55</c:v>
                </c:pt>
                <c:pt idx="211">
                  <c:v>687.45</c:v>
                </c:pt>
                <c:pt idx="212">
                  <c:v>710.55</c:v>
                </c:pt>
                <c:pt idx="213">
                  <c:v>717.05</c:v>
                </c:pt>
                <c:pt idx="214">
                  <c:v>709.65</c:v>
                </c:pt>
                <c:pt idx="215">
                  <c:v>706.75</c:v>
                </c:pt>
                <c:pt idx="216">
                  <c:v>696</c:v>
                </c:pt>
                <c:pt idx="217">
                  <c:v>677.75</c:v>
                </c:pt>
                <c:pt idx="218">
                  <c:v>684.35</c:v>
                </c:pt>
                <c:pt idx="219">
                  <c:v>683.85</c:v>
                </c:pt>
                <c:pt idx="220">
                  <c:v>680.65</c:v>
                </c:pt>
                <c:pt idx="221">
                  <c:v>686.6</c:v>
                </c:pt>
                <c:pt idx="222">
                  <c:v>682.4</c:v>
                </c:pt>
                <c:pt idx="223">
                  <c:v>681</c:v>
                </c:pt>
                <c:pt idx="224">
                  <c:v>689.8</c:v>
                </c:pt>
                <c:pt idx="225">
                  <c:v>673.2</c:v>
                </c:pt>
                <c:pt idx="226">
                  <c:v>668.25</c:v>
                </c:pt>
                <c:pt idx="227">
                  <c:v>661.6</c:v>
                </c:pt>
                <c:pt idx="228">
                  <c:v>648.54999999999995</c:v>
                </c:pt>
                <c:pt idx="229">
                  <c:v>620.65</c:v>
                </c:pt>
                <c:pt idx="230">
                  <c:v>621.15</c:v>
                </c:pt>
                <c:pt idx="231">
                  <c:v>619.20000000000005</c:v>
                </c:pt>
                <c:pt idx="232">
                  <c:v>640.79999999999995</c:v>
                </c:pt>
                <c:pt idx="233">
                  <c:v>639.65</c:v>
                </c:pt>
                <c:pt idx="234">
                  <c:v>648.29999999999995</c:v>
                </c:pt>
                <c:pt idx="235">
                  <c:v>648.15</c:v>
                </c:pt>
                <c:pt idx="236">
                  <c:v>648.04999999999995</c:v>
                </c:pt>
                <c:pt idx="237">
                  <c:v>668.3</c:v>
                </c:pt>
                <c:pt idx="238">
                  <c:v>655.5</c:v>
                </c:pt>
                <c:pt idx="239">
                  <c:v>661.05</c:v>
                </c:pt>
                <c:pt idx="240">
                  <c:v>680.05</c:v>
                </c:pt>
                <c:pt idx="241">
                  <c:v>682.25</c:v>
                </c:pt>
                <c:pt idx="242">
                  <c:v>690.05</c:v>
                </c:pt>
                <c:pt idx="243">
                  <c:v>702.95</c:v>
                </c:pt>
                <c:pt idx="244">
                  <c:v>713.5</c:v>
                </c:pt>
                <c:pt idx="245">
                  <c:v>710.3</c:v>
                </c:pt>
                <c:pt idx="246">
                  <c:v>708.25</c:v>
                </c:pt>
                <c:pt idx="247">
                  <c:v>668.55</c:v>
                </c:pt>
                <c:pt idx="248">
                  <c:v>674.45</c:v>
                </c:pt>
              </c:numCache>
            </c:numRef>
          </c:val>
          <c:smooth val="0"/>
          <c:extLst>
            <c:ext xmlns:c16="http://schemas.microsoft.com/office/drawing/2014/chart" uri="{C3380CC4-5D6E-409C-BE32-E72D297353CC}">
              <c16:uniqueId val="{00000000-BF72-4197-8A2E-6FF0BB2F2BD5}"/>
            </c:ext>
          </c:extLst>
        </c:ser>
        <c:dLbls>
          <c:showLegendKey val="0"/>
          <c:showVal val="0"/>
          <c:showCatName val="0"/>
          <c:showSerName val="0"/>
          <c:showPercent val="0"/>
          <c:showBubbleSize val="0"/>
        </c:dLbls>
        <c:marker val="1"/>
        <c:smooth val="0"/>
        <c:axId val="991452528"/>
        <c:axId val="991444848"/>
      </c:lineChart>
      <c:catAx>
        <c:axId val="99145252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91444848"/>
        <c:crosses val="autoZero"/>
        <c:auto val="1"/>
        <c:lblAlgn val="ctr"/>
        <c:lblOffset val="100"/>
        <c:noMultiLvlLbl val="0"/>
      </c:catAx>
      <c:valAx>
        <c:axId val="99144484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91452528"/>
        <c:crosses val="autoZero"/>
        <c:crossBetween val="between"/>
      </c:valAx>
      <c:spPr>
        <a:noFill/>
        <a:ln>
          <a:noFill/>
        </a:ln>
        <a:effectLst/>
      </c:spPr>
    </c:plotArea>
    <c:legend>
      <c:legendPos val="r"/>
      <c:overlay val="0"/>
      <c:spPr>
        <a:noFill/>
        <a:ln>
          <a:solidFill>
            <a:schemeClr val="accent1"/>
          </a:solid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342154</xdr:colOff>
      <xdr:row>1</xdr:row>
      <xdr:rowOff>124198</xdr:rowOff>
    </xdr:from>
    <xdr:to>
      <xdr:col>9</xdr:col>
      <xdr:colOff>351678</xdr:colOff>
      <xdr:row>15</xdr:row>
      <xdr:rowOff>167060</xdr:rowOff>
    </xdr:to>
    <xdr:graphicFrame macro="">
      <xdr:nvGraphicFramePr>
        <xdr:cNvPr id="5" name="Chart 4">
          <a:extLst>
            <a:ext uri="{FF2B5EF4-FFF2-40B4-BE49-F238E27FC236}">
              <a16:creationId xmlns:a16="http://schemas.microsoft.com/office/drawing/2014/main" id="{6D7EF8A0-ABEE-FBB2-B296-414501BD89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609600</xdr:colOff>
      <xdr:row>2</xdr:row>
      <xdr:rowOff>152400</xdr:rowOff>
    </xdr:from>
    <xdr:to>
      <xdr:col>9</xdr:col>
      <xdr:colOff>571500</xdr:colOff>
      <xdr:row>14</xdr:row>
      <xdr:rowOff>76200</xdr:rowOff>
    </xdr:to>
    <xdr:graphicFrame macro="">
      <xdr:nvGraphicFramePr>
        <xdr:cNvPr id="3" name="Chart 2">
          <a:extLst>
            <a:ext uri="{FF2B5EF4-FFF2-40B4-BE49-F238E27FC236}">
              <a16:creationId xmlns:a16="http://schemas.microsoft.com/office/drawing/2014/main" id="{C667FB36-8370-000A-C9A5-9119113463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266700</xdr:colOff>
      <xdr:row>2</xdr:row>
      <xdr:rowOff>19050</xdr:rowOff>
    </xdr:from>
    <xdr:to>
      <xdr:col>11</xdr:col>
      <xdr:colOff>428625</xdr:colOff>
      <xdr:row>18</xdr:row>
      <xdr:rowOff>57150</xdr:rowOff>
    </xdr:to>
    <xdr:graphicFrame macro="">
      <xdr:nvGraphicFramePr>
        <xdr:cNvPr id="2" name="Chart 1">
          <a:extLst>
            <a:ext uri="{FF2B5EF4-FFF2-40B4-BE49-F238E27FC236}">
              <a16:creationId xmlns:a16="http://schemas.microsoft.com/office/drawing/2014/main" id="{CF6599FF-CE1C-764C-C89D-473A1477D5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266700</xdr:colOff>
      <xdr:row>6</xdr:row>
      <xdr:rowOff>19050</xdr:rowOff>
    </xdr:from>
    <xdr:to>
      <xdr:col>15</xdr:col>
      <xdr:colOff>228600</xdr:colOff>
      <xdr:row>9</xdr:row>
      <xdr:rowOff>142875</xdr:rowOff>
    </xdr:to>
    <mc:AlternateContent xmlns:mc="http://schemas.openxmlformats.org/markup-compatibility/2006" xmlns:a14="http://schemas.microsoft.com/office/drawing/2010/main">
      <mc:Choice Requires="a14">
        <xdr:graphicFrame macro="">
          <xdr:nvGraphicFramePr>
            <xdr:cNvPr id="3" name="Day 2">
              <a:extLst>
                <a:ext uri="{FF2B5EF4-FFF2-40B4-BE49-F238E27FC236}">
                  <a16:creationId xmlns:a16="http://schemas.microsoft.com/office/drawing/2014/main" id="{F984F190-A9A5-10A2-54E2-E2037838AFB6}"/>
                </a:ext>
              </a:extLst>
            </xdr:cNvPr>
            <xdr:cNvGraphicFramePr/>
          </xdr:nvGraphicFramePr>
          <xdr:xfrm>
            <a:off x="0" y="0"/>
            <a:ext cx="0" cy="0"/>
          </xdr:xfrm>
          <a:graphic>
            <a:graphicData uri="http://schemas.microsoft.com/office/drawing/2010/slicer">
              <sle:slicer xmlns:sle="http://schemas.microsoft.com/office/drawing/2010/slicer" name="Day 2"/>
            </a:graphicData>
          </a:graphic>
        </xdr:graphicFrame>
      </mc:Choice>
      <mc:Fallback xmlns="">
        <xdr:sp macro="" textlink="">
          <xdr:nvSpPr>
            <xdr:cNvPr id="0" name=""/>
            <xdr:cNvSpPr>
              <a:spLocks noTextEdit="1"/>
            </xdr:cNvSpPr>
          </xdr:nvSpPr>
          <xdr:spPr>
            <a:xfrm>
              <a:off x="8486775" y="1162050"/>
              <a:ext cx="1790700" cy="6953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285751</xdr:colOff>
      <xdr:row>10</xdr:row>
      <xdr:rowOff>104776</xdr:rowOff>
    </xdr:from>
    <xdr:to>
      <xdr:col>15</xdr:col>
      <xdr:colOff>200025</xdr:colOff>
      <xdr:row>14</xdr:row>
      <xdr:rowOff>47625</xdr:rowOff>
    </xdr:to>
    <mc:AlternateContent xmlns:mc="http://schemas.openxmlformats.org/markup-compatibility/2006" xmlns:a14="http://schemas.microsoft.com/office/drawing/2010/main">
      <mc:Choice Requires="a14">
        <xdr:graphicFrame macro="">
          <xdr:nvGraphicFramePr>
            <xdr:cNvPr id="5" name="Quarter">
              <a:extLst>
                <a:ext uri="{FF2B5EF4-FFF2-40B4-BE49-F238E27FC236}">
                  <a16:creationId xmlns:a16="http://schemas.microsoft.com/office/drawing/2014/main" id="{94E1AA9E-11CA-B063-2247-4B3B12355095}"/>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8505826" y="2009776"/>
              <a:ext cx="1743074" cy="7048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314324</xdr:colOff>
      <xdr:row>14</xdr:row>
      <xdr:rowOff>152401</xdr:rowOff>
    </xdr:from>
    <xdr:to>
      <xdr:col>15</xdr:col>
      <xdr:colOff>171449</xdr:colOff>
      <xdr:row>18</xdr:row>
      <xdr:rowOff>85725</xdr:rowOff>
    </xdr:to>
    <mc:AlternateContent xmlns:mc="http://schemas.openxmlformats.org/markup-compatibility/2006" xmlns:a14="http://schemas.microsoft.com/office/drawing/2010/main">
      <mc:Choice Requires="a14">
        <xdr:graphicFrame macro="">
          <xdr:nvGraphicFramePr>
            <xdr:cNvPr id="6" name="Year">
              <a:extLst>
                <a:ext uri="{FF2B5EF4-FFF2-40B4-BE49-F238E27FC236}">
                  <a16:creationId xmlns:a16="http://schemas.microsoft.com/office/drawing/2014/main" id="{355E80EF-4336-66DC-E617-8AFC6CB15D1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8534399" y="2819401"/>
              <a:ext cx="1685925" cy="6953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247650</xdr:colOff>
      <xdr:row>1</xdr:row>
      <xdr:rowOff>142875</xdr:rowOff>
    </xdr:from>
    <xdr:to>
      <xdr:col>15</xdr:col>
      <xdr:colOff>247650</xdr:colOff>
      <xdr:row>5</xdr:row>
      <xdr:rowOff>95250</xdr:rowOff>
    </xdr:to>
    <mc:AlternateContent xmlns:mc="http://schemas.openxmlformats.org/markup-compatibility/2006" xmlns:a14="http://schemas.microsoft.com/office/drawing/2010/main">
      <mc:Choice Requires="a14">
        <xdr:graphicFrame macro="">
          <xdr:nvGraphicFramePr>
            <xdr:cNvPr id="7" name="Year 1">
              <a:extLst>
                <a:ext uri="{FF2B5EF4-FFF2-40B4-BE49-F238E27FC236}">
                  <a16:creationId xmlns:a16="http://schemas.microsoft.com/office/drawing/2014/main" id="{B930FA1C-ECBE-528E-CACF-3B393FA63D6D}"/>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8467725" y="333375"/>
              <a:ext cx="1828800" cy="714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514350</xdr:colOff>
      <xdr:row>1</xdr:row>
      <xdr:rowOff>66675</xdr:rowOff>
    </xdr:from>
    <xdr:to>
      <xdr:col>10</xdr:col>
      <xdr:colOff>57150</xdr:colOff>
      <xdr:row>14</xdr:row>
      <xdr:rowOff>171450</xdr:rowOff>
    </xdr:to>
    <xdr:graphicFrame macro="">
      <xdr:nvGraphicFramePr>
        <xdr:cNvPr id="2" name="Chart 1">
          <a:extLst>
            <a:ext uri="{FF2B5EF4-FFF2-40B4-BE49-F238E27FC236}">
              <a16:creationId xmlns:a16="http://schemas.microsoft.com/office/drawing/2014/main" id="{CF6D09BD-C3A8-7300-F13E-C0D5CC0E6F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476250</xdr:colOff>
      <xdr:row>1</xdr:row>
      <xdr:rowOff>42862</xdr:rowOff>
    </xdr:from>
    <xdr:to>
      <xdr:col>11</xdr:col>
      <xdr:colOff>171450</xdr:colOff>
      <xdr:row>14</xdr:row>
      <xdr:rowOff>123825</xdr:rowOff>
    </xdr:to>
    <xdr:graphicFrame macro="">
      <xdr:nvGraphicFramePr>
        <xdr:cNvPr id="2" name="Chart 1">
          <a:extLst>
            <a:ext uri="{FF2B5EF4-FFF2-40B4-BE49-F238E27FC236}">
              <a16:creationId xmlns:a16="http://schemas.microsoft.com/office/drawing/2014/main" id="{1922491B-AD0D-CCB0-1035-40320B71BA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114300</xdr:colOff>
      <xdr:row>7</xdr:row>
      <xdr:rowOff>28576</xdr:rowOff>
    </xdr:from>
    <xdr:to>
      <xdr:col>13</xdr:col>
      <xdr:colOff>276224</xdr:colOff>
      <xdr:row>19</xdr:row>
      <xdr:rowOff>152400</xdr:rowOff>
    </xdr:to>
    <xdr:sp macro="" textlink="">
      <xdr:nvSpPr>
        <xdr:cNvPr id="3" name="Rectangle 2">
          <a:extLst>
            <a:ext uri="{FF2B5EF4-FFF2-40B4-BE49-F238E27FC236}">
              <a16:creationId xmlns:a16="http://schemas.microsoft.com/office/drawing/2014/main" id="{AC4D73EC-908D-4EEF-8D37-8FDF248BEB85}"/>
            </a:ext>
          </a:extLst>
        </xdr:cNvPr>
        <xdr:cNvSpPr/>
      </xdr:nvSpPr>
      <xdr:spPr>
        <a:xfrm>
          <a:off x="3771900" y="1362076"/>
          <a:ext cx="4429124" cy="2409824"/>
        </a:xfrm>
        <a:prstGeom prst="rect">
          <a:avLst/>
        </a:prstGeom>
        <a:solidFill>
          <a:srgbClr val="2C2C3E"/>
        </a:solidFill>
        <a:ln>
          <a:solidFill>
            <a:srgbClr val="3D3D5C"/>
          </a:solidFill>
        </a:ln>
        <a:effectLst>
          <a:glow rad="101600">
            <a:srgbClr val="00BFFF">
              <a:alpha val="30000"/>
            </a:srgbClr>
          </a:glow>
          <a:outerShdw blurRad="63500" dist="50800" sx="102000" sy="102000" algn="ctr"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57150</xdr:colOff>
      <xdr:row>0</xdr:row>
      <xdr:rowOff>66675</xdr:rowOff>
    </xdr:from>
    <xdr:to>
      <xdr:col>11</xdr:col>
      <xdr:colOff>409575</xdr:colOff>
      <xdr:row>3</xdr:row>
      <xdr:rowOff>66674</xdr:rowOff>
    </xdr:to>
    <xdr:sp macro="" textlink="">
      <xdr:nvSpPr>
        <xdr:cNvPr id="4" name="Rectangle: Rounded Corners 3">
          <a:extLst>
            <a:ext uri="{FF2B5EF4-FFF2-40B4-BE49-F238E27FC236}">
              <a16:creationId xmlns:a16="http://schemas.microsoft.com/office/drawing/2014/main" id="{44237948-229F-4A6D-B735-B477354A0D55}"/>
            </a:ext>
          </a:extLst>
        </xdr:cNvPr>
        <xdr:cNvSpPr/>
      </xdr:nvSpPr>
      <xdr:spPr>
        <a:xfrm>
          <a:off x="57150" y="66675"/>
          <a:ext cx="7058025" cy="571499"/>
        </a:xfrm>
        <a:prstGeom prst="roundRect">
          <a:avLst/>
        </a:prstGeom>
        <a:solidFill>
          <a:srgbClr val="2C2C3E"/>
        </a:solidFill>
        <a:ln>
          <a:solidFill>
            <a:srgbClr val="3D3D5C"/>
          </a:solidFill>
        </a:ln>
        <a:effectLst>
          <a:glow rad="63500">
            <a:srgbClr val="00BCD4">
              <a:alpha val="60000"/>
            </a:srgbClr>
          </a:glow>
          <a:outerShdw blurRad="63500" dist="50800" sx="102000" sy="102000" algn="ctr"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11</xdr:col>
      <xdr:colOff>515089</xdr:colOff>
      <xdr:row>0</xdr:row>
      <xdr:rowOff>66675</xdr:rowOff>
    </xdr:from>
    <xdr:to>
      <xdr:col>16</xdr:col>
      <xdr:colOff>9525</xdr:colOff>
      <xdr:row>3</xdr:row>
      <xdr:rowOff>47624</xdr:rowOff>
    </xdr:to>
    <xdr:sp macro="" textlink="">
      <xdr:nvSpPr>
        <xdr:cNvPr id="5" name="Rectangle: Rounded Corners 4">
          <a:extLst>
            <a:ext uri="{FF2B5EF4-FFF2-40B4-BE49-F238E27FC236}">
              <a16:creationId xmlns:a16="http://schemas.microsoft.com/office/drawing/2014/main" id="{3D24C0FC-4D0B-402F-91CB-E108B6EAC8BE}"/>
            </a:ext>
          </a:extLst>
        </xdr:cNvPr>
        <xdr:cNvSpPr/>
      </xdr:nvSpPr>
      <xdr:spPr>
        <a:xfrm>
          <a:off x="7220689" y="66675"/>
          <a:ext cx="2542436" cy="552449"/>
        </a:xfrm>
        <a:prstGeom prst="roundRect">
          <a:avLst/>
        </a:prstGeom>
        <a:solidFill>
          <a:srgbClr val="2C2C3E"/>
        </a:solidFill>
        <a:ln>
          <a:solidFill>
            <a:srgbClr val="3D3D5C"/>
          </a:solidFill>
        </a:ln>
        <a:effectLst>
          <a:glow rad="63500">
            <a:srgbClr val="00BCD4">
              <a:alpha val="60000"/>
            </a:srgbClr>
          </a:glow>
          <a:outerShdw blurRad="63500" dist="50800" sx="102000" sy="102000" algn="ctr"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123826</xdr:colOff>
      <xdr:row>3</xdr:row>
      <xdr:rowOff>123826</xdr:rowOff>
    </xdr:from>
    <xdr:to>
      <xdr:col>5</xdr:col>
      <xdr:colOff>123826</xdr:colOff>
      <xdr:row>6</xdr:row>
      <xdr:rowOff>123825</xdr:rowOff>
    </xdr:to>
    <xdr:sp macro="" textlink="">
      <xdr:nvSpPr>
        <xdr:cNvPr id="6" name="Rectangle: Rounded Corners 5">
          <a:extLst>
            <a:ext uri="{FF2B5EF4-FFF2-40B4-BE49-F238E27FC236}">
              <a16:creationId xmlns:a16="http://schemas.microsoft.com/office/drawing/2014/main" id="{8B4D9161-6931-494D-84C6-A5468F024217}"/>
            </a:ext>
          </a:extLst>
        </xdr:cNvPr>
        <xdr:cNvSpPr/>
      </xdr:nvSpPr>
      <xdr:spPr>
        <a:xfrm>
          <a:off x="123826" y="695326"/>
          <a:ext cx="3048000" cy="571499"/>
        </a:xfrm>
        <a:prstGeom prst="roundRect">
          <a:avLst/>
        </a:prstGeom>
        <a:solidFill>
          <a:srgbClr val="2C2C3E"/>
        </a:solidFill>
        <a:ln>
          <a:solidFill>
            <a:srgbClr val="3D3D5C"/>
          </a:solidFill>
        </a:ln>
        <a:effectLst>
          <a:glow rad="63500">
            <a:srgbClr val="00BCD4">
              <a:alpha val="35000"/>
            </a:srgbClr>
          </a:glow>
          <a:outerShdw blurRad="63500" dist="50800" sx="102000" sy="102000" algn="ctr"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114299</xdr:colOff>
      <xdr:row>7</xdr:row>
      <xdr:rowOff>38100</xdr:rowOff>
    </xdr:from>
    <xdr:to>
      <xdr:col>6</xdr:col>
      <xdr:colOff>28574</xdr:colOff>
      <xdr:row>19</xdr:row>
      <xdr:rowOff>133349</xdr:rowOff>
    </xdr:to>
    <xdr:sp macro="" textlink="">
      <xdr:nvSpPr>
        <xdr:cNvPr id="22" name="Rectangle 21">
          <a:extLst>
            <a:ext uri="{FF2B5EF4-FFF2-40B4-BE49-F238E27FC236}">
              <a16:creationId xmlns:a16="http://schemas.microsoft.com/office/drawing/2014/main" id="{904D492B-5F00-48AA-A39A-65E51AB24763}"/>
            </a:ext>
          </a:extLst>
        </xdr:cNvPr>
        <xdr:cNvSpPr/>
      </xdr:nvSpPr>
      <xdr:spPr>
        <a:xfrm>
          <a:off x="114299" y="1371600"/>
          <a:ext cx="3571875" cy="2381249"/>
        </a:xfrm>
        <a:prstGeom prst="rect">
          <a:avLst/>
        </a:prstGeom>
        <a:solidFill>
          <a:srgbClr val="2C2C3E"/>
        </a:solidFill>
        <a:ln>
          <a:solidFill>
            <a:srgbClr val="3D3D5C"/>
          </a:solidFill>
        </a:ln>
        <a:effectLst>
          <a:glow rad="101600">
            <a:srgbClr val="00BFFF">
              <a:alpha val="30000"/>
            </a:srgbClr>
          </a:glow>
          <a:outerShdw blurRad="63500" dist="50800" sx="102000" sy="102000" algn="ctr"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13</xdr:col>
      <xdr:colOff>371475</xdr:colOff>
      <xdr:row>7</xdr:row>
      <xdr:rowOff>28575</xdr:rowOff>
    </xdr:from>
    <xdr:to>
      <xdr:col>20</xdr:col>
      <xdr:colOff>200024</xdr:colOff>
      <xdr:row>19</xdr:row>
      <xdr:rowOff>142874</xdr:rowOff>
    </xdr:to>
    <xdr:sp macro="" textlink="">
      <xdr:nvSpPr>
        <xdr:cNvPr id="23" name="Rectangle 22">
          <a:extLst>
            <a:ext uri="{FF2B5EF4-FFF2-40B4-BE49-F238E27FC236}">
              <a16:creationId xmlns:a16="http://schemas.microsoft.com/office/drawing/2014/main" id="{4BFB6AC7-5E96-475F-92D8-F560CA5EB2B4}"/>
            </a:ext>
          </a:extLst>
        </xdr:cNvPr>
        <xdr:cNvSpPr/>
      </xdr:nvSpPr>
      <xdr:spPr>
        <a:xfrm>
          <a:off x="8296275" y="1362075"/>
          <a:ext cx="4095749" cy="2400299"/>
        </a:xfrm>
        <a:prstGeom prst="rect">
          <a:avLst/>
        </a:prstGeom>
        <a:solidFill>
          <a:srgbClr val="2C2C3E"/>
        </a:solidFill>
        <a:ln>
          <a:solidFill>
            <a:srgbClr val="3D3D5C"/>
          </a:solidFill>
        </a:ln>
        <a:effectLst>
          <a:glow rad="101600">
            <a:srgbClr val="00BFFF">
              <a:alpha val="30000"/>
            </a:srgbClr>
          </a:glow>
          <a:outerShdw blurRad="63500" dist="50800" sx="102000" sy="102000" algn="ctr"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7</xdr:col>
      <xdr:colOff>438150</xdr:colOff>
      <xdr:row>20</xdr:row>
      <xdr:rowOff>47625</xdr:rowOff>
    </xdr:from>
    <xdr:to>
      <xdr:col>20</xdr:col>
      <xdr:colOff>200024</xdr:colOff>
      <xdr:row>31</xdr:row>
      <xdr:rowOff>114300</xdr:rowOff>
    </xdr:to>
    <xdr:sp macro="" textlink="">
      <xdr:nvSpPr>
        <xdr:cNvPr id="24" name="Rectangle 23">
          <a:extLst>
            <a:ext uri="{FF2B5EF4-FFF2-40B4-BE49-F238E27FC236}">
              <a16:creationId xmlns:a16="http://schemas.microsoft.com/office/drawing/2014/main" id="{C097FF77-C880-4B10-8B63-B07AEEF76FB4}"/>
            </a:ext>
          </a:extLst>
        </xdr:cNvPr>
        <xdr:cNvSpPr/>
      </xdr:nvSpPr>
      <xdr:spPr>
        <a:xfrm>
          <a:off x="4705350" y="3857625"/>
          <a:ext cx="7686674" cy="2162175"/>
        </a:xfrm>
        <a:prstGeom prst="rect">
          <a:avLst/>
        </a:prstGeom>
        <a:solidFill>
          <a:srgbClr val="2C2C3E"/>
        </a:solidFill>
        <a:ln>
          <a:solidFill>
            <a:srgbClr val="3D3D5C"/>
          </a:solidFill>
        </a:ln>
        <a:effectLst>
          <a:glow rad="101600">
            <a:srgbClr val="00BFFF">
              <a:alpha val="30000"/>
            </a:srgbClr>
          </a:glow>
          <a:outerShdw blurRad="63500" dist="50800" sx="102000" sy="102000" algn="ctr"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104775</xdr:colOff>
      <xdr:row>20</xdr:row>
      <xdr:rowOff>47625</xdr:rowOff>
    </xdr:from>
    <xdr:to>
      <xdr:col>7</xdr:col>
      <xdr:colOff>295274</xdr:colOff>
      <xdr:row>31</xdr:row>
      <xdr:rowOff>123825</xdr:rowOff>
    </xdr:to>
    <xdr:sp macro="" textlink="">
      <xdr:nvSpPr>
        <xdr:cNvPr id="25" name="Rectangle 24">
          <a:extLst>
            <a:ext uri="{FF2B5EF4-FFF2-40B4-BE49-F238E27FC236}">
              <a16:creationId xmlns:a16="http://schemas.microsoft.com/office/drawing/2014/main" id="{87C487D0-A3E0-4F7D-87B2-4048D1099E3C}"/>
            </a:ext>
          </a:extLst>
        </xdr:cNvPr>
        <xdr:cNvSpPr/>
      </xdr:nvSpPr>
      <xdr:spPr>
        <a:xfrm>
          <a:off x="104775" y="3857625"/>
          <a:ext cx="4457699" cy="2171700"/>
        </a:xfrm>
        <a:prstGeom prst="rect">
          <a:avLst/>
        </a:prstGeom>
        <a:solidFill>
          <a:srgbClr val="2C2C3E"/>
        </a:solidFill>
        <a:ln>
          <a:solidFill>
            <a:srgbClr val="3D3D5C"/>
          </a:solidFill>
        </a:ln>
        <a:effectLst>
          <a:glow rad="101600">
            <a:srgbClr val="00BFFF">
              <a:alpha val="30000"/>
            </a:srgbClr>
          </a:glow>
          <a:outerShdw blurRad="63500" dist="50800" sx="102000" sy="102000" algn="ctr"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5</xdr:col>
      <xdr:colOff>209551</xdr:colOff>
      <xdr:row>3</xdr:row>
      <xdr:rowOff>123826</xdr:rowOff>
    </xdr:from>
    <xdr:to>
      <xdr:col>10</xdr:col>
      <xdr:colOff>190501</xdr:colOff>
      <xdr:row>6</xdr:row>
      <xdr:rowOff>123825</xdr:rowOff>
    </xdr:to>
    <xdr:sp macro="" textlink="">
      <xdr:nvSpPr>
        <xdr:cNvPr id="33" name="Rectangle: Rounded Corners 32">
          <a:extLst>
            <a:ext uri="{FF2B5EF4-FFF2-40B4-BE49-F238E27FC236}">
              <a16:creationId xmlns:a16="http://schemas.microsoft.com/office/drawing/2014/main" id="{9A047E44-05CA-47AF-B966-992943AAE559}"/>
            </a:ext>
          </a:extLst>
        </xdr:cNvPr>
        <xdr:cNvSpPr/>
      </xdr:nvSpPr>
      <xdr:spPr>
        <a:xfrm>
          <a:off x="3257551" y="695326"/>
          <a:ext cx="3028950" cy="571499"/>
        </a:xfrm>
        <a:prstGeom prst="roundRect">
          <a:avLst/>
        </a:prstGeom>
        <a:solidFill>
          <a:srgbClr val="2C2C3E"/>
        </a:solidFill>
        <a:ln>
          <a:solidFill>
            <a:srgbClr val="3D3D5C"/>
          </a:solidFill>
        </a:ln>
        <a:effectLst>
          <a:glow rad="63500">
            <a:srgbClr val="00BCD4">
              <a:alpha val="35000"/>
            </a:srgbClr>
          </a:glow>
          <a:outerShdw blurRad="63500" dist="50800" sx="102000" sy="102000" algn="ctr"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10</xdr:col>
      <xdr:colOff>276225</xdr:colOff>
      <xdr:row>3</xdr:row>
      <xdr:rowOff>114301</xdr:rowOff>
    </xdr:from>
    <xdr:to>
      <xdr:col>15</xdr:col>
      <xdr:colOff>238126</xdr:colOff>
      <xdr:row>6</xdr:row>
      <xdr:rowOff>114300</xdr:rowOff>
    </xdr:to>
    <xdr:sp macro="" textlink="">
      <xdr:nvSpPr>
        <xdr:cNvPr id="34" name="Rectangle: Rounded Corners 33">
          <a:extLst>
            <a:ext uri="{FF2B5EF4-FFF2-40B4-BE49-F238E27FC236}">
              <a16:creationId xmlns:a16="http://schemas.microsoft.com/office/drawing/2014/main" id="{2F0E358B-5929-4C20-BC67-E2FE69AFE350}"/>
            </a:ext>
          </a:extLst>
        </xdr:cNvPr>
        <xdr:cNvSpPr/>
      </xdr:nvSpPr>
      <xdr:spPr>
        <a:xfrm>
          <a:off x="6372225" y="685801"/>
          <a:ext cx="3009901" cy="571499"/>
        </a:xfrm>
        <a:prstGeom prst="roundRect">
          <a:avLst/>
        </a:prstGeom>
        <a:solidFill>
          <a:srgbClr val="2C2C3E"/>
        </a:solidFill>
        <a:ln>
          <a:solidFill>
            <a:srgbClr val="3D3D5C"/>
          </a:solidFill>
        </a:ln>
        <a:effectLst>
          <a:glow rad="63500">
            <a:srgbClr val="00BCD4">
              <a:alpha val="35000"/>
            </a:srgbClr>
          </a:glow>
          <a:outerShdw blurRad="63500" dist="50800" sx="102000" sy="102000" algn="ctr"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15</xdr:col>
      <xdr:colOff>323850</xdr:colOff>
      <xdr:row>3</xdr:row>
      <xdr:rowOff>104776</xdr:rowOff>
    </xdr:from>
    <xdr:to>
      <xdr:col>20</xdr:col>
      <xdr:colOff>200026</xdr:colOff>
      <xdr:row>6</xdr:row>
      <xdr:rowOff>104775</xdr:rowOff>
    </xdr:to>
    <xdr:sp macro="" textlink="">
      <xdr:nvSpPr>
        <xdr:cNvPr id="35" name="Rectangle: Rounded Corners 34">
          <a:extLst>
            <a:ext uri="{FF2B5EF4-FFF2-40B4-BE49-F238E27FC236}">
              <a16:creationId xmlns:a16="http://schemas.microsoft.com/office/drawing/2014/main" id="{917A53A4-B7ED-47A7-BE92-0DA964936068}"/>
            </a:ext>
          </a:extLst>
        </xdr:cNvPr>
        <xdr:cNvSpPr/>
      </xdr:nvSpPr>
      <xdr:spPr>
        <a:xfrm>
          <a:off x="9467850" y="676276"/>
          <a:ext cx="2924176" cy="571499"/>
        </a:xfrm>
        <a:prstGeom prst="roundRect">
          <a:avLst/>
        </a:prstGeom>
        <a:solidFill>
          <a:srgbClr val="2C2C3E"/>
        </a:solidFill>
        <a:ln>
          <a:solidFill>
            <a:srgbClr val="3D3D5C"/>
          </a:solidFill>
        </a:ln>
        <a:effectLst>
          <a:glow rad="63500">
            <a:srgbClr val="00BCD4">
              <a:alpha val="35000"/>
            </a:srgbClr>
          </a:glow>
          <a:outerShdw blurRad="63500" dist="50800" sx="102000" sy="102000" algn="ctr"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161924</xdr:colOff>
      <xdr:row>20</xdr:row>
      <xdr:rowOff>133350</xdr:rowOff>
    </xdr:from>
    <xdr:to>
      <xdr:col>7</xdr:col>
      <xdr:colOff>209549</xdr:colOff>
      <xdr:row>31</xdr:row>
      <xdr:rowOff>38100</xdr:rowOff>
    </xdr:to>
    <xdr:graphicFrame macro="">
      <xdr:nvGraphicFramePr>
        <xdr:cNvPr id="11" name="Chart 10">
          <a:extLst>
            <a:ext uri="{FF2B5EF4-FFF2-40B4-BE49-F238E27FC236}">
              <a16:creationId xmlns:a16="http://schemas.microsoft.com/office/drawing/2014/main" id="{FF5E1308-6D96-4A5F-9842-24913F763B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523876</xdr:colOff>
      <xdr:row>20</xdr:row>
      <xdr:rowOff>161925</xdr:rowOff>
    </xdr:from>
    <xdr:to>
      <xdr:col>20</xdr:col>
      <xdr:colOff>85726</xdr:colOff>
      <xdr:row>30</xdr:row>
      <xdr:rowOff>133350</xdr:rowOff>
    </xdr:to>
    <xdr:graphicFrame macro="">
      <xdr:nvGraphicFramePr>
        <xdr:cNvPr id="12" name="Chart 11">
          <a:extLst>
            <a:ext uri="{FF2B5EF4-FFF2-40B4-BE49-F238E27FC236}">
              <a16:creationId xmlns:a16="http://schemas.microsoft.com/office/drawing/2014/main" id="{970D0495-EFDA-4663-BFB1-80C129E0E5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219075</xdr:colOff>
      <xdr:row>4</xdr:row>
      <xdr:rowOff>19051</xdr:rowOff>
    </xdr:from>
    <xdr:to>
      <xdr:col>4</xdr:col>
      <xdr:colOff>571500</xdr:colOff>
      <xdr:row>6</xdr:row>
      <xdr:rowOff>57151</xdr:rowOff>
    </xdr:to>
    <mc:AlternateContent xmlns:mc="http://schemas.openxmlformats.org/markup-compatibility/2006" xmlns:a14="http://schemas.microsoft.com/office/drawing/2010/main">
      <mc:Choice Requires="a14">
        <xdr:graphicFrame macro="">
          <xdr:nvGraphicFramePr>
            <xdr:cNvPr id="2" name="Day 4">
              <a:extLst>
                <a:ext uri="{FF2B5EF4-FFF2-40B4-BE49-F238E27FC236}">
                  <a16:creationId xmlns:a16="http://schemas.microsoft.com/office/drawing/2014/main" id="{1448AB35-C1B1-42A8-A50F-2A71587FA31E}"/>
                </a:ext>
              </a:extLst>
            </xdr:cNvPr>
            <xdr:cNvGraphicFramePr/>
          </xdr:nvGraphicFramePr>
          <xdr:xfrm>
            <a:off x="0" y="0"/>
            <a:ext cx="0" cy="0"/>
          </xdr:xfrm>
          <a:graphic>
            <a:graphicData uri="http://schemas.microsoft.com/office/drawing/2010/slicer">
              <sle:slicer xmlns:sle="http://schemas.microsoft.com/office/drawing/2010/slicer" name="Day 4"/>
            </a:graphicData>
          </a:graphic>
        </xdr:graphicFrame>
      </mc:Choice>
      <mc:Fallback xmlns="">
        <xdr:sp macro="" textlink="">
          <xdr:nvSpPr>
            <xdr:cNvPr id="0" name=""/>
            <xdr:cNvSpPr>
              <a:spLocks noTextEdit="1"/>
            </xdr:cNvSpPr>
          </xdr:nvSpPr>
          <xdr:spPr>
            <a:xfrm>
              <a:off x="219075" y="781051"/>
              <a:ext cx="2790825" cy="419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342900</xdr:colOff>
      <xdr:row>4</xdr:row>
      <xdr:rowOff>19051</xdr:rowOff>
    </xdr:from>
    <xdr:to>
      <xdr:col>10</xdr:col>
      <xdr:colOff>85725</xdr:colOff>
      <xdr:row>6</xdr:row>
      <xdr:rowOff>38101</xdr:rowOff>
    </xdr:to>
    <mc:AlternateContent xmlns:mc="http://schemas.openxmlformats.org/markup-compatibility/2006" xmlns:a14="http://schemas.microsoft.com/office/drawing/2010/main">
      <mc:Choice Requires="a14">
        <xdr:graphicFrame macro="">
          <xdr:nvGraphicFramePr>
            <xdr:cNvPr id="10" name="Month 2">
              <a:extLst>
                <a:ext uri="{FF2B5EF4-FFF2-40B4-BE49-F238E27FC236}">
                  <a16:creationId xmlns:a16="http://schemas.microsoft.com/office/drawing/2014/main" id="{287C6992-191E-4B82-A612-E92072795B72}"/>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3390900" y="781051"/>
              <a:ext cx="2790825" cy="400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381000</xdr:colOff>
      <xdr:row>3</xdr:row>
      <xdr:rowOff>161926</xdr:rowOff>
    </xdr:from>
    <xdr:to>
      <xdr:col>15</xdr:col>
      <xdr:colOff>133350</xdr:colOff>
      <xdr:row>6</xdr:row>
      <xdr:rowOff>9525</xdr:rowOff>
    </xdr:to>
    <mc:AlternateContent xmlns:mc="http://schemas.openxmlformats.org/markup-compatibility/2006" xmlns:a14="http://schemas.microsoft.com/office/drawing/2010/main">
      <mc:Choice Requires="a14">
        <xdr:graphicFrame macro="">
          <xdr:nvGraphicFramePr>
            <xdr:cNvPr id="13" name="Quarter 2">
              <a:extLst>
                <a:ext uri="{FF2B5EF4-FFF2-40B4-BE49-F238E27FC236}">
                  <a16:creationId xmlns:a16="http://schemas.microsoft.com/office/drawing/2014/main" id="{0562CE69-8FAF-47DA-BCAA-6BD3A5A05E20}"/>
                </a:ext>
              </a:extLst>
            </xdr:cNvPr>
            <xdr:cNvGraphicFramePr/>
          </xdr:nvGraphicFramePr>
          <xdr:xfrm>
            <a:off x="0" y="0"/>
            <a:ext cx="0" cy="0"/>
          </xdr:xfrm>
          <a:graphic>
            <a:graphicData uri="http://schemas.microsoft.com/office/drawing/2010/slicer">
              <sle:slicer xmlns:sle="http://schemas.microsoft.com/office/drawing/2010/slicer" name="Quarter 2"/>
            </a:graphicData>
          </a:graphic>
        </xdr:graphicFrame>
      </mc:Choice>
      <mc:Fallback xmlns="">
        <xdr:sp macro="" textlink="">
          <xdr:nvSpPr>
            <xdr:cNvPr id="0" name=""/>
            <xdr:cNvSpPr>
              <a:spLocks noTextEdit="1"/>
            </xdr:cNvSpPr>
          </xdr:nvSpPr>
          <xdr:spPr>
            <a:xfrm>
              <a:off x="6477000" y="733426"/>
              <a:ext cx="2800350" cy="4190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447675</xdr:colOff>
      <xdr:row>3</xdr:row>
      <xdr:rowOff>180974</xdr:rowOff>
    </xdr:from>
    <xdr:to>
      <xdr:col>19</xdr:col>
      <xdr:colOff>590549</xdr:colOff>
      <xdr:row>6</xdr:row>
      <xdr:rowOff>57149</xdr:rowOff>
    </xdr:to>
    <mc:AlternateContent xmlns:mc="http://schemas.openxmlformats.org/markup-compatibility/2006" xmlns:a14="http://schemas.microsoft.com/office/drawing/2010/main">
      <mc:Choice Requires="a14">
        <xdr:graphicFrame macro="">
          <xdr:nvGraphicFramePr>
            <xdr:cNvPr id="14" name="Year 2">
              <a:extLst>
                <a:ext uri="{FF2B5EF4-FFF2-40B4-BE49-F238E27FC236}">
                  <a16:creationId xmlns:a16="http://schemas.microsoft.com/office/drawing/2014/main" id="{7B691E77-9CD6-4936-8C18-AFD6A8643929}"/>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9591675" y="752474"/>
              <a:ext cx="2581274" cy="447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95989</xdr:colOff>
      <xdr:row>0</xdr:row>
      <xdr:rowOff>57150</xdr:rowOff>
    </xdr:from>
    <xdr:to>
      <xdr:col>20</xdr:col>
      <xdr:colOff>219075</xdr:colOff>
      <xdr:row>3</xdr:row>
      <xdr:rowOff>38099</xdr:rowOff>
    </xdr:to>
    <xdr:sp macro="" textlink="">
      <xdr:nvSpPr>
        <xdr:cNvPr id="16" name="Rectangle: Rounded Corners 15">
          <a:extLst>
            <a:ext uri="{FF2B5EF4-FFF2-40B4-BE49-F238E27FC236}">
              <a16:creationId xmlns:a16="http://schemas.microsoft.com/office/drawing/2014/main" id="{34C30BF6-B8AF-41DC-B013-8B7CE5E22120}"/>
            </a:ext>
          </a:extLst>
        </xdr:cNvPr>
        <xdr:cNvSpPr/>
      </xdr:nvSpPr>
      <xdr:spPr>
        <a:xfrm>
          <a:off x="9849589" y="57150"/>
          <a:ext cx="2561486" cy="552449"/>
        </a:xfrm>
        <a:prstGeom prst="roundRect">
          <a:avLst/>
        </a:prstGeom>
        <a:solidFill>
          <a:srgbClr val="2C2C3E"/>
        </a:solidFill>
        <a:ln>
          <a:solidFill>
            <a:srgbClr val="3D3D5C"/>
          </a:solidFill>
        </a:ln>
        <a:effectLst>
          <a:glow rad="63500">
            <a:srgbClr val="00BCD4">
              <a:alpha val="60000"/>
            </a:srgbClr>
          </a:glow>
          <a:outerShdw blurRad="63500" dist="50800" sx="102000" sy="102000" algn="ctr"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13</xdr:col>
      <xdr:colOff>457200</xdr:colOff>
      <xdr:row>7</xdr:row>
      <xdr:rowOff>114300</xdr:rowOff>
    </xdr:from>
    <xdr:to>
      <xdr:col>20</xdr:col>
      <xdr:colOff>104775</xdr:colOff>
      <xdr:row>19</xdr:row>
      <xdr:rowOff>66674</xdr:rowOff>
    </xdr:to>
    <xdr:graphicFrame macro="">
      <xdr:nvGraphicFramePr>
        <xdr:cNvPr id="15" name="Chart 14">
          <a:extLst>
            <a:ext uri="{FF2B5EF4-FFF2-40B4-BE49-F238E27FC236}">
              <a16:creationId xmlns:a16="http://schemas.microsoft.com/office/drawing/2014/main" id="{4863A918-C96B-41CC-90F0-F769E123C0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190500</xdr:colOff>
      <xdr:row>7</xdr:row>
      <xdr:rowOff>114300</xdr:rowOff>
    </xdr:from>
    <xdr:to>
      <xdr:col>5</xdr:col>
      <xdr:colOff>552450</xdr:colOff>
      <xdr:row>19</xdr:row>
      <xdr:rowOff>47625</xdr:rowOff>
    </xdr:to>
    <xdr:graphicFrame macro="">
      <xdr:nvGraphicFramePr>
        <xdr:cNvPr id="17" name="Chart 16">
          <a:extLst>
            <a:ext uri="{FF2B5EF4-FFF2-40B4-BE49-F238E27FC236}">
              <a16:creationId xmlns:a16="http://schemas.microsoft.com/office/drawing/2014/main" id="{90F77857-4639-4573-8AFE-5043722263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228600</xdr:colOff>
      <xdr:row>7</xdr:row>
      <xdr:rowOff>76200</xdr:rowOff>
    </xdr:from>
    <xdr:to>
      <xdr:col>13</xdr:col>
      <xdr:colOff>171450</xdr:colOff>
      <xdr:row>19</xdr:row>
      <xdr:rowOff>38100</xdr:rowOff>
    </xdr:to>
    <xdr:graphicFrame macro="">
      <xdr:nvGraphicFramePr>
        <xdr:cNvPr id="18" name="Chart 17">
          <a:extLst>
            <a:ext uri="{FF2B5EF4-FFF2-40B4-BE49-F238E27FC236}">
              <a16:creationId xmlns:a16="http://schemas.microsoft.com/office/drawing/2014/main" id="{E5029BBF-86F5-4AF4-B5A0-2203A4384F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247650</xdr:colOff>
      <xdr:row>0</xdr:row>
      <xdr:rowOff>104775</xdr:rowOff>
    </xdr:from>
    <xdr:to>
      <xdr:col>11</xdr:col>
      <xdr:colOff>114300</xdr:colOff>
      <xdr:row>3</xdr:row>
      <xdr:rowOff>28574</xdr:rowOff>
    </xdr:to>
    <xdr:sp macro="" textlink="">
      <xdr:nvSpPr>
        <xdr:cNvPr id="19" name="TextBox 18">
          <a:extLst>
            <a:ext uri="{FF2B5EF4-FFF2-40B4-BE49-F238E27FC236}">
              <a16:creationId xmlns:a16="http://schemas.microsoft.com/office/drawing/2014/main" id="{300712F2-300F-DC91-2DFF-F9E468091510}"/>
            </a:ext>
          </a:extLst>
        </xdr:cNvPr>
        <xdr:cNvSpPr txBox="1"/>
      </xdr:nvSpPr>
      <xdr:spPr>
        <a:xfrm>
          <a:off x="247650" y="104775"/>
          <a:ext cx="6572250" cy="4952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latin typeface="Segoe UI" panose="020B0502040204020203" pitchFamily="34" charset="0"/>
              <a:ea typeface="Calibri" panose="020F0502020204030204" pitchFamily="34" charset="0"/>
              <a:cs typeface="Segoe UI" panose="020B0502040204020203" pitchFamily="34" charset="0"/>
            </a:rPr>
            <a:t>STOCK PERFORMANCE DASHBOARD</a:t>
          </a:r>
        </a:p>
      </xdr:txBody>
    </xdr:sp>
    <xdr:clientData/>
  </xdr:twoCellAnchor>
  <xdr:twoCellAnchor>
    <xdr:from>
      <xdr:col>12</xdr:col>
      <xdr:colOff>57150</xdr:colOff>
      <xdr:row>0</xdr:row>
      <xdr:rowOff>95250</xdr:rowOff>
    </xdr:from>
    <xdr:to>
      <xdr:col>15</xdr:col>
      <xdr:colOff>533400</xdr:colOff>
      <xdr:row>2</xdr:row>
      <xdr:rowOff>57150</xdr:rowOff>
    </xdr:to>
    <xdr:grpSp>
      <xdr:nvGrpSpPr>
        <xdr:cNvPr id="27" name="Group 26">
          <a:extLst>
            <a:ext uri="{FF2B5EF4-FFF2-40B4-BE49-F238E27FC236}">
              <a16:creationId xmlns:a16="http://schemas.microsoft.com/office/drawing/2014/main" id="{A0886CC5-A012-E9AD-8860-0377F8E0A568}"/>
            </a:ext>
          </a:extLst>
        </xdr:cNvPr>
        <xdr:cNvGrpSpPr/>
      </xdr:nvGrpSpPr>
      <xdr:grpSpPr>
        <a:xfrm>
          <a:off x="7372350" y="95250"/>
          <a:ext cx="2305050" cy="342900"/>
          <a:chOff x="7372350" y="95250"/>
          <a:chExt cx="2305050" cy="342900"/>
        </a:xfrm>
      </xdr:grpSpPr>
      <xdr:sp macro="" textlink="KPIs!$A$4">
        <xdr:nvSpPr>
          <xdr:cNvPr id="8" name="TextBox 7">
            <a:extLst>
              <a:ext uri="{FF2B5EF4-FFF2-40B4-BE49-F238E27FC236}">
                <a16:creationId xmlns:a16="http://schemas.microsoft.com/office/drawing/2014/main" id="{336C1CE6-861A-4F15-92B2-D3FD799BDCBA}"/>
              </a:ext>
            </a:extLst>
          </xdr:cNvPr>
          <xdr:cNvSpPr txBox="1"/>
        </xdr:nvSpPr>
        <xdr:spPr>
          <a:xfrm>
            <a:off x="8877300" y="95250"/>
            <a:ext cx="80010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692A5E9-1D46-416E-AC7A-782E824666C9}" type="TxLink">
              <a:rPr lang="en-US" sz="1400" b="1" i="0" u="none" strike="noStrike">
                <a:solidFill>
                  <a:schemeClr val="accent5">
                    <a:lumMod val="20000"/>
                    <a:lumOff val="80000"/>
                  </a:schemeClr>
                </a:solidFill>
                <a:latin typeface="Calibri" panose="020F0502020204030204" pitchFamily="34" charset="0"/>
                <a:ea typeface="Calibri" panose="020F0502020204030204" pitchFamily="34" charset="0"/>
                <a:cs typeface="Calibri" panose="020F0502020204030204" pitchFamily="34" charset="0"/>
              </a:rPr>
              <a:pPr/>
              <a:t>2024</a:t>
            </a:fld>
            <a:endParaRPr lang="en-IN" sz="1400" b="1">
              <a:solidFill>
                <a:schemeClr val="accent5">
                  <a:lumMod val="20000"/>
                  <a:lumOff val="80000"/>
                </a:schemeClr>
              </a:solidFill>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26" name="TextBox 25">
            <a:extLst>
              <a:ext uri="{FF2B5EF4-FFF2-40B4-BE49-F238E27FC236}">
                <a16:creationId xmlns:a16="http://schemas.microsoft.com/office/drawing/2014/main" id="{0A67D2A8-91EA-44A9-8E61-2C6A6E37E1B8}"/>
              </a:ext>
            </a:extLst>
          </xdr:cNvPr>
          <xdr:cNvSpPr txBox="1"/>
        </xdr:nvSpPr>
        <xdr:spPr>
          <a:xfrm>
            <a:off x="7372350" y="95250"/>
            <a:ext cx="1685926"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chemeClr val="accent5">
                    <a:lumMod val="20000"/>
                    <a:lumOff val="80000"/>
                  </a:schemeClr>
                </a:solidFill>
                <a:latin typeface="Calibri" panose="020F0502020204030204" pitchFamily="34" charset="0"/>
                <a:ea typeface="Calibri" panose="020F0502020204030204" pitchFamily="34" charset="0"/>
                <a:cs typeface="Calibri" panose="020F0502020204030204" pitchFamily="34" charset="0"/>
              </a:rPr>
              <a:t>TOTAL</a:t>
            </a:r>
            <a:r>
              <a:rPr lang="en-US" sz="1400" b="1" i="0" u="none" strike="noStrike" baseline="0">
                <a:solidFill>
                  <a:schemeClr val="accent5">
                    <a:lumMod val="20000"/>
                    <a:lumOff val="80000"/>
                  </a:schemeClr>
                </a:solidFill>
                <a:latin typeface="Calibri" panose="020F0502020204030204" pitchFamily="34" charset="0"/>
                <a:ea typeface="Calibri" panose="020F0502020204030204" pitchFamily="34" charset="0"/>
                <a:cs typeface="Calibri" panose="020F0502020204030204" pitchFamily="34" charset="0"/>
              </a:rPr>
              <a:t> VOLUME  OF </a:t>
            </a:r>
            <a:endParaRPr lang="en-US" sz="1400" b="1" i="0" u="none" strike="noStrike">
              <a:solidFill>
                <a:schemeClr val="accent5">
                  <a:lumMod val="20000"/>
                  <a:lumOff val="80000"/>
                </a:schemeClr>
              </a:solidFill>
              <a:latin typeface="Calibri" panose="020F0502020204030204" pitchFamily="34" charset="0"/>
              <a:ea typeface="Calibri" panose="020F0502020204030204" pitchFamily="34" charset="0"/>
              <a:cs typeface="Calibri" panose="020F0502020204030204" pitchFamily="34" charset="0"/>
            </a:endParaRPr>
          </a:p>
        </xdr:txBody>
      </xdr:sp>
    </xdr:grpSp>
    <xdr:clientData/>
  </xdr:twoCellAnchor>
  <xdr:twoCellAnchor>
    <xdr:from>
      <xdr:col>13</xdr:col>
      <xdr:colOff>152399</xdr:colOff>
      <xdr:row>1</xdr:row>
      <xdr:rowOff>142874</xdr:rowOff>
    </xdr:from>
    <xdr:to>
      <xdr:col>15</xdr:col>
      <xdr:colOff>95250</xdr:colOff>
      <xdr:row>3</xdr:row>
      <xdr:rowOff>47625</xdr:rowOff>
    </xdr:to>
    <xdr:sp macro="" textlink="KPIs!$B$4">
      <xdr:nvSpPr>
        <xdr:cNvPr id="28" name="TextBox 27">
          <a:extLst>
            <a:ext uri="{FF2B5EF4-FFF2-40B4-BE49-F238E27FC236}">
              <a16:creationId xmlns:a16="http://schemas.microsoft.com/office/drawing/2014/main" id="{782C2724-E3AE-41DB-AA42-33B4EBE39180}"/>
            </a:ext>
          </a:extLst>
        </xdr:cNvPr>
        <xdr:cNvSpPr txBox="1"/>
      </xdr:nvSpPr>
      <xdr:spPr>
        <a:xfrm>
          <a:off x="8077199" y="333374"/>
          <a:ext cx="1162051" cy="2857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8A3E2F3-4249-4A8D-B0FA-3156DE04F66B}" type="TxLink">
            <a:rPr lang="en-US" sz="1100" b="1" i="0" u="none" strike="noStrike">
              <a:solidFill>
                <a:schemeClr val="accent5">
                  <a:lumMod val="60000"/>
                  <a:lumOff val="40000"/>
                </a:schemeClr>
              </a:solidFill>
              <a:latin typeface="Aptos Narrow"/>
            </a:rPr>
            <a:pPr/>
            <a:t>₹ 2.4 Crore</a:t>
          </a:fld>
          <a:endParaRPr lang="en-US" sz="1100" b="1">
            <a:solidFill>
              <a:schemeClr val="accent5">
                <a:lumMod val="60000"/>
                <a:lumOff val="40000"/>
              </a:schemeClr>
            </a:solidFill>
          </a:endParaRPr>
        </a:p>
      </xdr:txBody>
    </xdr:sp>
    <xdr:clientData/>
  </xdr:twoCellAnchor>
  <xdr:twoCellAnchor>
    <xdr:from>
      <xdr:col>18</xdr:col>
      <xdr:colOff>457200</xdr:colOff>
      <xdr:row>0</xdr:row>
      <xdr:rowOff>95250</xdr:rowOff>
    </xdr:from>
    <xdr:to>
      <xdr:col>20</xdr:col>
      <xdr:colOff>57149</xdr:colOff>
      <xdr:row>2</xdr:row>
      <xdr:rowOff>38100</xdr:rowOff>
    </xdr:to>
    <xdr:sp macro="" textlink="KPIs!$E$4">
      <xdr:nvSpPr>
        <xdr:cNvPr id="36" name="TextBox 35">
          <a:extLst>
            <a:ext uri="{FF2B5EF4-FFF2-40B4-BE49-F238E27FC236}">
              <a16:creationId xmlns:a16="http://schemas.microsoft.com/office/drawing/2014/main" id="{365BCEE9-DE4A-4DA2-8DE0-91FF5EECCCFB}"/>
            </a:ext>
          </a:extLst>
        </xdr:cNvPr>
        <xdr:cNvSpPr txBox="1"/>
      </xdr:nvSpPr>
      <xdr:spPr>
        <a:xfrm>
          <a:off x="11430000" y="95250"/>
          <a:ext cx="819149"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7DD4245-F832-43ED-A941-F852133494BB}" type="TxLink">
            <a:rPr lang="en-US" sz="1400" b="1" i="0" u="none" strike="noStrike">
              <a:solidFill>
                <a:schemeClr val="accent5">
                  <a:lumMod val="20000"/>
                  <a:lumOff val="80000"/>
                </a:schemeClr>
              </a:solidFill>
              <a:latin typeface="Calibri" panose="020F0502020204030204" pitchFamily="34" charset="0"/>
              <a:ea typeface="Calibri" panose="020F0502020204030204" pitchFamily="34" charset="0"/>
              <a:cs typeface="Calibri" panose="020F0502020204030204" pitchFamily="34" charset="0"/>
            </a:rPr>
            <a:pPr/>
            <a:t>2024</a:t>
          </a:fld>
          <a:endParaRPr lang="en-IN" sz="1400" b="1">
            <a:solidFill>
              <a:schemeClr val="accent5">
                <a:lumMod val="20000"/>
                <a:lumOff val="80000"/>
              </a:schemeClr>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16</xdr:col>
      <xdr:colOff>171449</xdr:colOff>
      <xdr:row>0</xdr:row>
      <xdr:rowOff>95250</xdr:rowOff>
    </xdr:from>
    <xdr:to>
      <xdr:col>19</xdr:col>
      <xdr:colOff>104775</xdr:colOff>
      <xdr:row>1</xdr:row>
      <xdr:rowOff>180974</xdr:rowOff>
    </xdr:to>
    <xdr:sp macro="" textlink="">
      <xdr:nvSpPr>
        <xdr:cNvPr id="37" name="TextBox 36">
          <a:extLst>
            <a:ext uri="{FF2B5EF4-FFF2-40B4-BE49-F238E27FC236}">
              <a16:creationId xmlns:a16="http://schemas.microsoft.com/office/drawing/2014/main" id="{B2F27F1D-6940-455B-AB3F-A83C45CF2186}"/>
            </a:ext>
          </a:extLst>
        </xdr:cNvPr>
        <xdr:cNvSpPr txBox="1"/>
      </xdr:nvSpPr>
      <xdr:spPr>
        <a:xfrm>
          <a:off x="9925049" y="95250"/>
          <a:ext cx="1762126" cy="2762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baseline="0">
              <a:solidFill>
                <a:schemeClr val="accent5">
                  <a:lumMod val="20000"/>
                  <a:lumOff val="80000"/>
                </a:schemeClr>
              </a:solidFill>
              <a:latin typeface="Calibri" panose="020F0502020204030204" pitchFamily="34" charset="0"/>
              <a:ea typeface="Calibri" panose="020F0502020204030204" pitchFamily="34" charset="0"/>
              <a:cs typeface="Calibri" panose="020F0502020204030204" pitchFamily="34" charset="0"/>
            </a:rPr>
            <a:t>AVERAGE OF CLOSE</a:t>
          </a:r>
          <a:endParaRPr lang="en-US" sz="1400" b="1" i="0" u="none" strike="noStrike">
            <a:solidFill>
              <a:schemeClr val="accent5">
                <a:lumMod val="20000"/>
                <a:lumOff val="80000"/>
              </a:schemeClr>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21</xdr:col>
      <xdr:colOff>0</xdr:colOff>
      <xdr:row>17</xdr:row>
      <xdr:rowOff>0</xdr:rowOff>
    </xdr:from>
    <xdr:to>
      <xdr:col>22</xdr:col>
      <xdr:colOff>57150</xdr:colOff>
      <xdr:row>20</xdr:row>
      <xdr:rowOff>0</xdr:rowOff>
    </xdr:to>
    <xdr:sp macro="" textlink="">
      <xdr:nvSpPr>
        <xdr:cNvPr id="8193" name="Text Box 1">
          <a:extLst>
            <a:ext uri="{FF2B5EF4-FFF2-40B4-BE49-F238E27FC236}">
              <a16:creationId xmlns:a16="http://schemas.microsoft.com/office/drawing/2014/main" id="{349D2499-D646-B7C2-97E9-C83D05FA6C0A}"/>
            </a:ext>
          </a:extLst>
        </xdr:cNvPr>
        <xdr:cNvSpPr txBox="1">
          <a:spLocks noChangeArrowheads="1"/>
        </xdr:cNvSpPr>
      </xdr:nvSpPr>
      <xdr:spPr bwMode="auto">
        <a:xfrm>
          <a:off x="12801600" y="3238500"/>
          <a:ext cx="666750" cy="571500"/>
        </a:xfrm>
        <a:prstGeom prst="rect">
          <a:avLst/>
        </a:prstGeom>
        <a:solidFill>
          <a:srgbClr val="FFFFFF"/>
        </a:solidFill>
        <a:ln w="9525">
          <a:solidFill>
            <a:srgbClr val="000000"/>
          </a:solidFill>
          <a:miter lim="800000"/>
          <a:headEnd/>
          <a:tailEnd/>
        </a:ln>
      </xdr:spPr>
      <xdr:txBody>
        <a:bodyPr vertOverflow="clip" wrap="square" lIns="27432" tIns="27432" rIns="0" bIns="0" anchor="t" upright="1"/>
        <a:lstStyle/>
        <a:p>
          <a:pPr algn="l" rtl="0">
            <a:defRPr sz="1000"/>
          </a:pPr>
          <a:r>
            <a:rPr lang="en-IN" sz="1100" b="0" i="0" u="none" strike="noStrike" baseline="0">
              <a:solidFill>
                <a:srgbClr val="000000"/>
              </a:solidFill>
              <a:latin typeface="Aptos Narrow"/>
            </a:rPr>
            <a:t>₹ 0.0,,," Crore"</a:t>
          </a:r>
        </a:p>
      </xdr:txBody>
    </xdr:sp>
    <xdr:clientData/>
  </xdr:twoCellAnchor>
  <xdr:twoCellAnchor>
    <xdr:from>
      <xdr:col>21</xdr:col>
      <xdr:colOff>0</xdr:colOff>
      <xdr:row>17</xdr:row>
      <xdr:rowOff>0</xdr:rowOff>
    </xdr:from>
    <xdr:to>
      <xdr:col>22</xdr:col>
      <xdr:colOff>57150</xdr:colOff>
      <xdr:row>20</xdr:row>
      <xdr:rowOff>0</xdr:rowOff>
    </xdr:to>
    <xdr:sp macro="" textlink="">
      <xdr:nvSpPr>
        <xdr:cNvPr id="8194" name="Text Box 2">
          <a:extLst>
            <a:ext uri="{FF2B5EF4-FFF2-40B4-BE49-F238E27FC236}">
              <a16:creationId xmlns:a16="http://schemas.microsoft.com/office/drawing/2014/main" id="{5C843EE4-FE4E-DA7B-1247-659713A22F89}"/>
            </a:ext>
          </a:extLst>
        </xdr:cNvPr>
        <xdr:cNvSpPr txBox="1">
          <a:spLocks noChangeArrowheads="1"/>
        </xdr:cNvSpPr>
      </xdr:nvSpPr>
      <xdr:spPr bwMode="auto">
        <a:xfrm>
          <a:off x="12801600" y="3238500"/>
          <a:ext cx="666750" cy="571500"/>
        </a:xfrm>
        <a:prstGeom prst="rect">
          <a:avLst/>
        </a:prstGeom>
        <a:solidFill>
          <a:srgbClr val="FFFFFF"/>
        </a:solidFill>
        <a:ln w="9525">
          <a:solidFill>
            <a:srgbClr val="000000"/>
          </a:solidFill>
          <a:miter lim="800000"/>
          <a:headEnd/>
          <a:tailEnd/>
        </a:ln>
      </xdr:spPr>
      <xdr:txBody>
        <a:bodyPr vertOverflow="clip" wrap="square" lIns="27432" tIns="27432" rIns="0" bIns="0" anchor="t" upright="1"/>
        <a:lstStyle/>
        <a:p>
          <a:pPr algn="l" rtl="0">
            <a:defRPr sz="1000"/>
          </a:pPr>
          <a:r>
            <a:rPr lang="en-IN" sz="1100" b="0" i="0" u="none" strike="noStrike" baseline="0">
              <a:solidFill>
                <a:srgbClr val="000000"/>
              </a:solidFill>
              <a:latin typeface="Aptos Narrow"/>
            </a:rPr>
            <a:t>₹ 0.0,,," Crore"</a:t>
          </a:r>
        </a:p>
      </xdr:txBody>
    </xdr:sp>
    <xdr:clientData/>
  </xdr:twoCellAnchor>
  <xdr:twoCellAnchor>
    <xdr:from>
      <xdr:col>17</xdr:col>
      <xdr:colOff>361950</xdr:colOff>
      <xdr:row>1</xdr:row>
      <xdr:rowOff>133350</xdr:rowOff>
    </xdr:from>
    <xdr:to>
      <xdr:col>19</xdr:col>
      <xdr:colOff>38840</xdr:colOff>
      <xdr:row>3</xdr:row>
      <xdr:rowOff>38101</xdr:rowOff>
    </xdr:to>
    <xdr:sp macro="" textlink="KPIs!$F$4">
      <xdr:nvSpPr>
        <xdr:cNvPr id="38" name="TextBox 37">
          <a:extLst>
            <a:ext uri="{FF2B5EF4-FFF2-40B4-BE49-F238E27FC236}">
              <a16:creationId xmlns:a16="http://schemas.microsoft.com/office/drawing/2014/main" id="{AFF2AE47-7518-40F4-8B2E-202748787159}"/>
            </a:ext>
          </a:extLst>
        </xdr:cNvPr>
        <xdr:cNvSpPr txBox="1"/>
      </xdr:nvSpPr>
      <xdr:spPr>
        <a:xfrm>
          <a:off x="10725150" y="323850"/>
          <a:ext cx="896090" cy="2857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B224B6E-BDB7-4788-876D-6C119512BD59}" type="TxLink">
            <a:rPr lang="en-US" sz="1100" b="1" i="0" u="none" strike="noStrike">
              <a:solidFill>
                <a:schemeClr val="accent5">
                  <a:lumMod val="60000"/>
                  <a:lumOff val="40000"/>
                </a:schemeClr>
              </a:solidFill>
              <a:latin typeface="Aptos Narrow"/>
            </a:rPr>
            <a:pPr/>
            <a:t>948.29</a:t>
          </a:fld>
          <a:endParaRPr lang="en-US" sz="1100" b="1">
            <a:solidFill>
              <a:schemeClr val="accent5">
                <a:lumMod val="60000"/>
                <a:lumOff val="40000"/>
              </a:schemeClr>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877.606850578704" createdVersion="8" refreshedVersion="8" minRefreshableVersion="3" recordCount="249" xr:uid="{05B67003-8C95-4E1F-A9CB-320982ED2B38}">
  <cacheSource type="worksheet">
    <worksheetSource name="Table2"/>
  </cacheSource>
  <cacheFields count="17">
    <cacheField name="Date " numFmtId="15">
      <sharedItems containsSemiMixedTypes="0" containsNonDate="0" containsDate="1" containsString="0" minDate="2024-04-01T00:00:00" maxDate="2025-03-29T00:00:00" count="249">
        <d v="2025-03-28T00:00:00"/>
        <d v="2025-03-27T00:00:00"/>
        <d v="2025-03-26T00:00:00"/>
        <d v="2025-03-25T00:00:00"/>
        <d v="2025-03-24T00:00:00"/>
        <d v="2025-03-21T00:00:00"/>
        <d v="2025-03-20T00:00:00"/>
        <d v="2025-03-19T00:00:00"/>
        <d v="2025-03-18T00:00:00"/>
        <d v="2025-03-17T00:00:00"/>
        <d v="2025-03-13T00:00:00"/>
        <d v="2025-03-12T00:00:00"/>
        <d v="2025-03-11T00:00:00"/>
        <d v="2025-03-10T00:00:00"/>
        <d v="2025-03-07T00:00:00"/>
        <d v="2025-03-06T00:00:00"/>
        <d v="2025-03-05T00:00:00"/>
        <d v="2025-03-04T00:00:00"/>
        <d v="2025-03-03T00:00:00"/>
        <d v="2025-02-28T00:00:00"/>
        <d v="2025-02-27T00:00:00"/>
        <d v="2025-02-25T00:00:00"/>
        <d v="2025-02-24T00:00:00"/>
        <d v="2025-02-21T00:00:00"/>
        <d v="2025-02-20T00:00:00"/>
        <d v="2025-02-19T00:00:00"/>
        <d v="2025-02-18T00:00:00"/>
        <d v="2025-02-17T00:00:00"/>
        <d v="2025-02-14T00:00:00"/>
        <d v="2025-02-13T00:00:00"/>
        <d v="2025-02-12T00:00:00"/>
        <d v="2025-02-11T00:00:00"/>
        <d v="2025-02-10T00:00:00"/>
        <d v="2025-02-07T00:00:00"/>
        <d v="2025-02-06T00:00:00"/>
        <d v="2025-02-05T00:00:00"/>
        <d v="2025-02-04T00:00:00"/>
        <d v="2025-02-03T00:00:00"/>
        <d v="2025-02-01T00:00:00"/>
        <d v="2025-01-31T00:00:00"/>
        <d v="2025-01-30T00:00:00"/>
        <d v="2025-01-29T00:00:00"/>
        <d v="2025-01-28T00:00:00"/>
        <d v="2025-01-27T00:00:00"/>
        <d v="2025-01-24T00:00:00"/>
        <d v="2025-01-23T00:00:00"/>
        <d v="2025-01-22T00:00:00"/>
        <d v="2025-01-21T00:00:00"/>
        <d v="2025-01-20T00:00:00"/>
        <d v="2025-01-17T00:00:00"/>
        <d v="2025-01-16T00:00:00"/>
        <d v="2025-01-15T00:00:00"/>
        <d v="2025-01-14T00:00:00"/>
        <d v="2025-01-13T00:00:00"/>
        <d v="2025-01-10T00:00:00"/>
        <d v="2025-01-09T00:00:00"/>
        <d v="2025-01-08T00:00:00"/>
        <d v="2025-01-07T00:00:00"/>
        <d v="2025-01-06T00:00:00"/>
        <d v="2025-01-03T00:00:00"/>
        <d v="2025-01-02T00:00:00"/>
        <d v="2025-01-01T00:00:00"/>
        <d v="2024-12-31T00:00:00"/>
        <d v="2024-12-30T00:00:00"/>
        <d v="2024-12-27T00:00:00"/>
        <d v="2024-12-26T00:00:00"/>
        <d v="2024-12-24T00:00:00"/>
        <d v="2024-12-23T00:00:00"/>
        <d v="2024-12-20T00:00:00"/>
        <d v="2024-12-19T00:00:00"/>
        <d v="2024-12-18T00:00:00"/>
        <d v="2024-12-17T00:00:00"/>
        <d v="2024-12-16T00:00:00"/>
        <d v="2024-12-13T00:00:00"/>
        <d v="2024-12-12T00:00:00"/>
        <d v="2024-12-11T00:00:00"/>
        <d v="2024-12-10T00:00:00"/>
        <d v="2024-12-09T00:00:00"/>
        <d v="2024-12-06T00:00:00"/>
        <d v="2024-12-05T00:00:00"/>
        <d v="2024-12-04T00:00:00"/>
        <d v="2024-12-03T00:00:00"/>
        <d v="2024-12-02T00:00:00"/>
        <d v="2024-11-29T00:00:00"/>
        <d v="2024-11-28T00:00:00"/>
        <d v="2024-11-27T00:00:00"/>
        <d v="2024-11-26T00:00:00"/>
        <d v="2024-11-25T00:00:00"/>
        <d v="2024-11-22T00:00:00"/>
        <d v="2024-11-21T00:00:00"/>
        <d v="2024-11-19T00:00:00"/>
        <d v="2024-11-18T00:00:00"/>
        <d v="2024-11-14T00:00:00"/>
        <d v="2024-11-13T00:00:00"/>
        <d v="2024-11-12T00:00:00"/>
        <d v="2024-11-11T00:00:00"/>
        <d v="2024-11-08T00:00:00"/>
        <d v="2024-11-07T00:00:00"/>
        <d v="2024-11-06T00:00:00"/>
        <d v="2024-11-05T00:00:00"/>
        <d v="2024-11-04T00:00:00"/>
        <d v="2024-11-01T00:00:00"/>
        <d v="2024-10-31T00:00:00"/>
        <d v="2024-10-30T00:00:00"/>
        <d v="2024-10-29T00:00:00"/>
        <d v="2024-10-28T00:00:00"/>
        <d v="2024-10-25T00:00:00"/>
        <d v="2024-10-24T00:00:00"/>
        <d v="2024-10-23T00:00:00"/>
        <d v="2024-10-22T00:00:00"/>
        <d v="2024-10-21T00:00:00"/>
        <d v="2024-10-18T00:00:00"/>
        <d v="2024-10-17T00:00:00"/>
        <d v="2024-10-16T00:00:00"/>
        <d v="2024-10-15T00:00:00"/>
        <d v="2024-10-14T00:00:00"/>
        <d v="2024-10-11T00:00:00"/>
        <d v="2024-10-10T00:00:00"/>
        <d v="2024-10-09T00:00:00"/>
        <d v="2024-10-08T00:00:00"/>
        <d v="2024-10-07T00:00:00"/>
        <d v="2024-10-04T00:00:00"/>
        <d v="2024-10-03T00:00:00"/>
        <d v="2024-10-01T00:00:00"/>
        <d v="2024-09-30T00:00:00"/>
        <d v="2024-09-27T00:00:00"/>
        <d v="2024-09-26T00:00:00"/>
        <d v="2024-09-25T00:00:00"/>
        <d v="2024-09-24T00:00:00"/>
        <d v="2024-09-23T00:00:00"/>
        <d v="2024-09-20T00:00:00"/>
        <d v="2024-09-19T00:00:00"/>
        <d v="2024-09-18T00:00:00"/>
        <d v="2024-09-17T00:00:00"/>
        <d v="2024-09-16T00:00:00"/>
        <d v="2024-09-13T00:00:00"/>
        <d v="2024-09-12T00:00:00"/>
        <d v="2024-09-11T00:00:00"/>
        <d v="2024-09-10T00:00:00"/>
        <d v="2024-09-09T00:00:00"/>
        <d v="2024-09-06T00:00:00"/>
        <d v="2024-09-05T00:00:00"/>
        <d v="2024-09-04T00:00:00"/>
        <d v="2024-09-03T00:00:00"/>
        <d v="2024-09-02T00:00:00"/>
        <d v="2024-08-30T00:00:00"/>
        <d v="2024-08-29T00:00:00"/>
        <d v="2024-08-28T00:00:00"/>
        <d v="2024-08-27T00:00:00"/>
        <d v="2024-08-26T00:00:00"/>
        <d v="2024-08-23T00:00:00"/>
        <d v="2024-08-22T00:00:00"/>
        <d v="2024-08-21T00:00:00"/>
        <d v="2024-08-20T00:00:00"/>
        <d v="2024-08-19T00:00:00"/>
        <d v="2024-08-16T00:00:00"/>
        <d v="2024-08-14T00:00:00"/>
        <d v="2024-08-13T00:00:00"/>
        <d v="2024-08-12T00:00:00"/>
        <d v="2024-08-09T00:00:00"/>
        <d v="2024-08-08T00:00:00"/>
        <d v="2024-08-07T00:00:00"/>
        <d v="2024-08-06T00:00:00"/>
        <d v="2024-08-05T00:00:00"/>
        <d v="2024-08-02T00:00:00"/>
        <d v="2024-08-01T00:00:00"/>
        <d v="2024-07-31T00:00:00"/>
        <d v="2024-07-30T00:00:00"/>
        <d v="2024-07-29T00:00:00"/>
        <d v="2024-07-26T00:00:00"/>
        <d v="2024-07-25T00:00:00"/>
        <d v="2024-07-24T00:00:00"/>
        <d v="2024-07-23T00:00:00"/>
        <d v="2024-07-22T00:00:00"/>
        <d v="2024-07-19T00:00:00"/>
        <d v="2024-07-18T00:00:00"/>
        <d v="2024-07-16T00:00:00"/>
        <d v="2024-07-15T00:00:00"/>
        <d v="2024-07-12T00:00:00"/>
        <d v="2024-07-11T00:00:00"/>
        <d v="2024-07-10T00:00:00"/>
        <d v="2024-07-09T00:00:00"/>
        <d v="2024-07-08T00:00:00"/>
        <d v="2024-07-05T00:00:00"/>
        <d v="2024-07-04T00:00:00"/>
        <d v="2024-07-03T00:00:00"/>
        <d v="2024-07-02T00:00:00"/>
        <d v="2024-07-01T00:00:00"/>
        <d v="2024-06-28T00:00:00"/>
        <d v="2024-06-27T00:00:00"/>
        <d v="2024-06-26T00:00:00"/>
        <d v="2024-06-25T00:00:00"/>
        <d v="2024-06-24T00:00:00"/>
        <d v="2024-06-21T00:00:00"/>
        <d v="2024-06-20T00:00:00"/>
        <d v="2024-06-19T00:00:00"/>
        <d v="2024-06-18T00:00:00"/>
        <d v="2024-06-14T00:00:00"/>
        <d v="2024-06-13T00:00:00"/>
        <d v="2024-06-12T00:00:00"/>
        <d v="2024-06-11T00:00:00"/>
        <d v="2024-06-10T00:00:00"/>
        <d v="2024-06-07T00:00:00"/>
        <d v="2024-06-06T00:00:00"/>
        <d v="2024-06-05T00:00:00"/>
        <d v="2024-06-04T00:00:00"/>
        <d v="2024-06-03T00:00:00"/>
        <d v="2024-05-31T00:00:00"/>
        <d v="2024-05-30T00:00:00"/>
        <d v="2024-05-29T00:00:00"/>
        <d v="2024-05-28T00:00:00"/>
        <d v="2024-05-27T00:00:00"/>
        <d v="2024-05-24T00:00:00"/>
        <d v="2024-05-23T00:00:00"/>
        <d v="2024-05-22T00:00:00"/>
        <d v="2024-05-21T00:00:00"/>
        <d v="2024-05-18T00:00:00"/>
        <d v="2024-05-17T00:00:00"/>
        <d v="2024-05-16T00:00:00"/>
        <d v="2024-05-15T00:00:00"/>
        <d v="2024-05-14T00:00:00"/>
        <d v="2024-05-13T00:00:00"/>
        <d v="2024-05-10T00:00:00"/>
        <d v="2024-05-09T00:00:00"/>
        <d v="2024-05-08T00:00:00"/>
        <d v="2024-05-07T00:00:00"/>
        <d v="2024-05-06T00:00:00"/>
        <d v="2024-05-03T00:00:00"/>
        <d v="2024-05-02T00:00:00"/>
        <d v="2024-04-30T00:00:00"/>
        <d v="2024-04-29T00:00:00"/>
        <d v="2024-04-26T00:00:00"/>
        <d v="2024-04-25T00:00:00"/>
        <d v="2024-04-24T00:00:00"/>
        <d v="2024-04-23T00:00:00"/>
        <d v="2024-04-22T00:00:00"/>
        <d v="2024-04-19T00:00:00"/>
        <d v="2024-04-18T00:00:00"/>
        <d v="2024-04-16T00:00:00"/>
        <d v="2024-04-15T00:00:00"/>
        <d v="2024-04-12T00:00:00"/>
        <d v="2024-04-10T00:00:00"/>
        <d v="2024-04-09T00:00:00"/>
        <d v="2024-04-08T00:00:00"/>
        <d v="2024-04-05T00:00:00"/>
        <d v="2024-04-04T00:00:00"/>
        <d v="2024-04-03T00:00:00"/>
        <d v="2024-04-02T00:00:00"/>
        <d v="2024-04-01T00:00:00"/>
      </sharedItems>
    </cacheField>
    <cacheField name="Day" numFmtId="15">
      <sharedItems count="6">
        <s v="Friday"/>
        <s v="Thursday"/>
        <s v="Wednesday"/>
        <s v="Tuesday"/>
        <s v="Monday"/>
        <s v="Saturday"/>
      </sharedItems>
    </cacheField>
    <cacheField name="Month" numFmtId="15">
      <sharedItems count="23">
        <s v="Mar"/>
        <s v="Feb"/>
        <s v="Jan"/>
        <s v="Dec"/>
        <s v="Nov"/>
        <s v="Oct"/>
        <s v="Sep"/>
        <s v="Aug"/>
        <s v="Jul"/>
        <s v="Jun"/>
        <s v="May"/>
        <s v="Apr"/>
        <s v="April" u="1"/>
        <s v="June" u="1"/>
        <s v="July" u="1"/>
        <s v="August" u="1"/>
        <s v="September" u="1"/>
        <s v="October" u="1"/>
        <s v="November" u="1"/>
        <s v="December" u="1"/>
        <s v="January" u="1"/>
        <s v="February" u="1"/>
        <s v="March" u="1"/>
      </sharedItems>
    </cacheField>
    <cacheField name="Quarter" numFmtId="15">
      <sharedItems count="4">
        <s v="Q1"/>
        <s v="Q4"/>
        <s v="Q3"/>
        <s v="Q2"/>
      </sharedItems>
    </cacheField>
    <cacheField name="Year" numFmtId="15">
      <sharedItems count="2">
        <s v="2025"/>
        <s v="2024"/>
      </sharedItems>
    </cacheField>
    <cacheField name="series " numFmtId="0">
      <sharedItems/>
    </cacheField>
    <cacheField name="OPEN " numFmtId="2">
      <sharedItems containsSemiMixedTypes="0" containsString="0" containsNumber="1" minValue="613.45000000000005" maxValue="1167"/>
    </cacheField>
    <cacheField name="HIGH " numFmtId="2">
      <sharedItems containsSemiMixedTypes="0" containsString="0" containsNumber="1" minValue="626.85" maxValue="1179"/>
    </cacheField>
    <cacheField name="LOW " numFmtId="2">
      <sharedItems containsSemiMixedTypes="0" containsString="0" containsNumber="1" minValue="606.29999999999995" maxValue="1145.3"/>
    </cacheField>
    <cacheField name="PREV. CLOSE " numFmtId="2">
      <sharedItems containsSemiMixedTypes="0" containsString="0" containsNumber="1" minValue="619.20000000000005" maxValue="1161.8499999999999"/>
    </cacheField>
    <cacheField name="ltp " numFmtId="2">
      <sharedItems containsSemiMixedTypes="0" containsString="0" containsNumber="1" minValue="619.5" maxValue="1162"/>
    </cacheField>
    <cacheField name="close " numFmtId="2">
      <sharedItems containsSemiMixedTypes="0" containsString="0" containsNumber="1" minValue="619.20000000000005" maxValue="1161.8499999999999"/>
    </cacheField>
    <cacheField name="vwap " numFmtId="2">
      <sharedItems containsSemiMixedTypes="0" containsString="0" containsNumber="1" minValue="617.79999999999995" maxValue="1159.58"/>
    </cacheField>
    <cacheField name="52W H " numFmtId="2">
      <sharedItems containsSemiMixedTypes="0" containsString="0" containsNumber="1" minValue="1065.5999999999999" maxValue="1179"/>
    </cacheField>
    <cacheField name="52W L " numFmtId="2">
      <sharedItems containsSemiMixedTypes="0" containsString="0" containsNumber="1" minValue="419.5" maxValue="717.7"/>
    </cacheField>
    <cacheField name="VOLUME " numFmtId="2">
      <sharedItems containsSemiMixedTypes="0" containsString="0" containsNumber="1" containsInteger="1" minValue="1930324" maxValue="59390998"/>
    </cacheField>
    <cacheField name="No of trades " numFmtId="2">
      <sharedItems containsSemiMixedTypes="0" containsString="0" containsNumber="1" containsInteger="1" minValue="46830" maxValue="1249124"/>
    </cacheField>
  </cacheFields>
  <extLst>
    <ext xmlns:x14="http://schemas.microsoft.com/office/spreadsheetml/2009/9/main" uri="{725AE2AE-9491-48be-B2B4-4EB974FC3084}">
      <x14:pivotCacheDefinition pivotCacheId="9247079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
  <r>
    <x v="0"/>
    <x v="0"/>
    <x v="0"/>
    <x v="0"/>
    <x v="0"/>
    <s v="EQ"/>
    <n v="671.85"/>
    <n v="684.95"/>
    <n v="669.3"/>
    <n v="668.55"/>
    <n v="673.25"/>
    <n v="674.45"/>
    <n v="675.72"/>
    <n v="1179"/>
    <n v="606.29999999999995"/>
    <n v="16013687"/>
    <n v="223287"/>
  </r>
  <r>
    <x v="1"/>
    <x v="1"/>
    <x v="0"/>
    <x v="0"/>
    <x v="0"/>
    <s v="EQ"/>
    <n v="668"/>
    <n v="676.6"/>
    <n v="661.1"/>
    <n v="708.25"/>
    <n v="669.5"/>
    <n v="668.55"/>
    <n v="669.35"/>
    <n v="1179"/>
    <n v="606.29999999999995"/>
    <n v="34238666"/>
    <n v="678323"/>
  </r>
  <r>
    <x v="2"/>
    <x v="2"/>
    <x v="0"/>
    <x v="0"/>
    <x v="0"/>
    <s v="EQ"/>
    <n v="710.3"/>
    <n v="717.85"/>
    <n v="707"/>
    <n v="710.3"/>
    <n v="707.4"/>
    <n v="708.25"/>
    <n v="711.37"/>
    <n v="1179"/>
    <n v="606.29999999999995"/>
    <n v="9363180"/>
    <n v="162046"/>
  </r>
  <r>
    <x v="3"/>
    <x v="3"/>
    <x v="0"/>
    <x v="0"/>
    <x v="0"/>
    <s v="EQ"/>
    <n v="719"/>
    <n v="723.05"/>
    <n v="706.35"/>
    <n v="713.5"/>
    <n v="707.5"/>
    <n v="710.3"/>
    <n v="714.13"/>
    <n v="1179"/>
    <n v="606.29999999999995"/>
    <n v="13617465"/>
    <n v="276282"/>
  </r>
  <r>
    <x v="4"/>
    <x v="4"/>
    <x v="0"/>
    <x v="0"/>
    <x v="0"/>
    <s v="EQ"/>
    <n v="710"/>
    <n v="717.5"/>
    <n v="702.05"/>
    <n v="702.95"/>
    <n v="713.9"/>
    <n v="713.5"/>
    <n v="710.33"/>
    <n v="1179"/>
    <n v="606.29999999999995"/>
    <n v="11671359"/>
    <n v="234530"/>
  </r>
  <r>
    <x v="5"/>
    <x v="0"/>
    <x v="0"/>
    <x v="0"/>
    <x v="0"/>
    <s v="EQ"/>
    <n v="693"/>
    <n v="705"/>
    <n v="688.55"/>
    <n v="690.05"/>
    <n v="702.5"/>
    <n v="702.95"/>
    <n v="699.9"/>
    <n v="1179"/>
    <n v="606.29999999999995"/>
    <n v="14823483"/>
    <n v="178336"/>
  </r>
  <r>
    <x v="6"/>
    <x v="1"/>
    <x v="0"/>
    <x v="0"/>
    <x v="0"/>
    <s v="EQ"/>
    <n v="685"/>
    <n v="692.7"/>
    <n v="679"/>
    <n v="682.25"/>
    <n v="689.5"/>
    <n v="690.05"/>
    <n v="686.79"/>
    <n v="1179"/>
    <n v="606.29999999999995"/>
    <n v="9712600"/>
    <n v="166825"/>
  </r>
  <r>
    <x v="7"/>
    <x v="2"/>
    <x v="0"/>
    <x v="0"/>
    <x v="0"/>
    <s v="EQ"/>
    <n v="685.4"/>
    <n v="685.75"/>
    <n v="678.55"/>
    <n v="680.05"/>
    <n v="681.05"/>
    <n v="682.25"/>
    <n v="681.69"/>
    <n v="1179"/>
    <n v="606.29999999999995"/>
    <n v="9338414"/>
    <n v="181525"/>
  </r>
  <r>
    <x v="8"/>
    <x v="3"/>
    <x v="0"/>
    <x v="0"/>
    <x v="0"/>
    <s v="EQ"/>
    <n v="665"/>
    <n v="681.7"/>
    <n v="663.9"/>
    <n v="661.05"/>
    <n v="678.8"/>
    <n v="680.05"/>
    <n v="674.98"/>
    <n v="1179"/>
    <n v="606.29999999999995"/>
    <n v="11236084"/>
    <n v="201406"/>
  </r>
  <r>
    <x v="9"/>
    <x v="4"/>
    <x v="0"/>
    <x v="0"/>
    <x v="0"/>
    <s v="EQ"/>
    <n v="665.05"/>
    <n v="666.45"/>
    <n v="657.45"/>
    <n v="655.5"/>
    <n v="660.1"/>
    <n v="661.05"/>
    <n v="661.92"/>
    <n v="1179"/>
    <n v="606.29999999999995"/>
    <n v="9174408"/>
    <n v="180213"/>
  </r>
  <r>
    <x v="10"/>
    <x v="1"/>
    <x v="0"/>
    <x v="0"/>
    <x v="0"/>
    <s v="EQ"/>
    <n v="670.65"/>
    <n v="671.85"/>
    <n v="649.6"/>
    <n v="668.3"/>
    <n v="654.70000000000005"/>
    <n v="655.5"/>
    <n v="658.17"/>
    <n v="1179"/>
    <n v="606.29999999999995"/>
    <n v="14004345"/>
    <n v="208418"/>
  </r>
  <r>
    <x v="11"/>
    <x v="2"/>
    <x v="0"/>
    <x v="0"/>
    <x v="0"/>
    <s v="EQ"/>
    <n v="654.5"/>
    <n v="671.9"/>
    <n v="652.25"/>
    <n v="648.04999999999995"/>
    <n v="668.15"/>
    <n v="668.3"/>
    <n v="665.67"/>
    <n v="1179"/>
    <n v="606.29999999999995"/>
    <n v="18732785"/>
    <n v="293574"/>
  </r>
  <r>
    <x v="12"/>
    <x v="3"/>
    <x v="0"/>
    <x v="0"/>
    <x v="0"/>
    <s v="EQ"/>
    <n v="640"/>
    <n v="651.15"/>
    <n v="638.45000000000005"/>
    <n v="648.15"/>
    <n v="648.9"/>
    <n v="648.04999999999995"/>
    <n v="646.66"/>
    <n v="1179"/>
    <n v="606.29999999999995"/>
    <n v="9534750"/>
    <n v="173182"/>
  </r>
  <r>
    <x v="13"/>
    <x v="4"/>
    <x v="0"/>
    <x v="0"/>
    <x v="0"/>
    <s v="EQ"/>
    <n v="648.29999999999995"/>
    <n v="654.25"/>
    <n v="643.35"/>
    <n v="648.29999999999995"/>
    <n v="646.25"/>
    <n v="648.15"/>
    <n v="648.76"/>
    <n v="1179"/>
    <n v="606.29999999999995"/>
    <n v="10309166"/>
    <n v="191705"/>
  </r>
  <r>
    <x v="14"/>
    <x v="0"/>
    <x v="0"/>
    <x v="0"/>
    <x v="0"/>
    <s v="EQ"/>
    <n v="640"/>
    <n v="651.5"/>
    <n v="635"/>
    <n v="639.65"/>
    <n v="647.5"/>
    <n v="648.29999999999995"/>
    <n v="646.83000000000004"/>
    <n v="1179"/>
    <n v="606.29999999999995"/>
    <n v="10123450"/>
    <n v="188802"/>
  </r>
  <r>
    <x v="15"/>
    <x v="1"/>
    <x v="0"/>
    <x v="0"/>
    <x v="0"/>
    <s v="EQ"/>
    <n v="653.25"/>
    <n v="655.95"/>
    <n v="635.6"/>
    <n v="640.79999999999995"/>
    <n v="638.9"/>
    <n v="639.65"/>
    <n v="641.30999999999995"/>
    <n v="1179"/>
    <n v="606.29999999999995"/>
    <n v="16991501"/>
    <n v="306481"/>
  </r>
  <r>
    <x v="16"/>
    <x v="2"/>
    <x v="0"/>
    <x v="0"/>
    <x v="0"/>
    <s v="EQ"/>
    <n v="619"/>
    <n v="641.6"/>
    <n v="618.6"/>
    <n v="619.20000000000005"/>
    <n v="641.6"/>
    <n v="640.79999999999995"/>
    <n v="634.35"/>
    <n v="1179"/>
    <n v="606.29999999999995"/>
    <n v="12373061"/>
    <n v="254485"/>
  </r>
  <r>
    <x v="17"/>
    <x v="3"/>
    <x v="0"/>
    <x v="0"/>
    <x v="0"/>
    <s v="EQ"/>
    <n v="613.45000000000005"/>
    <n v="629.15"/>
    <n v="613"/>
    <n v="621.15"/>
    <n v="619.5"/>
    <n v="619.20000000000005"/>
    <n v="621.45000000000005"/>
    <n v="1179"/>
    <n v="606.29999999999995"/>
    <n v="11878225"/>
    <n v="250241"/>
  </r>
  <r>
    <x v="18"/>
    <x v="4"/>
    <x v="1"/>
    <x v="0"/>
    <x v="0"/>
    <s v="EQ"/>
    <n v="620.65"/>
    <n v="626.85"/>
    <n v="606.29999999999995"/>
    <n v="620.65"/>
    <n v="621.4"/>
    <n v="621.15"/>
    <n v="617.79999999999995"/>
    <n v="1179"/>
    <n v="606.29999999999995"/>
    <n v="18362700"/>
    <n v="351446"/>
  </r>
  <r>
    <x v="19"/>
    <x v="0"/>
    <x v="1"/>
    <x v="0"/>
    <x v="0"/>
    <s v="EQ"/>
    <n v="645"/>
    <n v="645"/>
    <n v="618.45000000000005"/>
    <n v="648.54999999999995"/>
    <n v="620.70000000000005"/>
    <n v="620.65"/>
    <n v="628.1"/>
    <n v="1179"/>
    <n v="618.45000000000005"/>
    <n v="20477619"/>
    <n v="466703"/>
  </r>
  <r>
    <x v="20"/>
    <x v="1"/>
    <x v="1"/>
    <x v="0"/>
    <x v="0"/>
    <s v="EQ"/>
    <n v="662"/>
    <n v="665"/>
    <n v="645.65"/>
    <n v="661.6"/>
    <n v="647.75"/>
    <n v="648.54999999999995"/>
    <n v="652.54"/>
    <n v="1179"/>
    <n v="645.65"/>
    <n v="12281857"/>
    <n v="254682"/>
  </r>
  <r>
    <x v="21"/>
    <x v="3"/>
    <x v="1"/>
    <x v="0"/>
    <x v="0"/>
    <s v="EQ"/>
    <n v="667.75"/>
    <n v="672.5"/>
    <n v="660"/>
    <n v="668.25"/>
    <n v="660.3"/>
    <n v="661.6"/>
    <n v="665.35"/>
    <n v="1179"/>
    <n v="660"/>
    <n v="10251257"/>
    <n v="240289"/>
  </r>
  <r>
    <x v="22"/>
    <x v="4"/>
    <x v="1"/>
    <x v="0"/>
    <x v="0"/>
    <s v="EQ"/>
    <n v="670"/>
    <n v="676.6"/>
    <n v="666"/>
    <n v="673.2"/>
    <n v="668.05"/>
    <n v="668.25"/>
    <n v="670.93"/>
    <n v="1179"/>
    <n v="666"/>
    <n v="8861769"/>
    <n v="230767"/>
  </r>
  <r>
    <x v="23"/>
    <x v="0"/>
    <x v="1"/>
    <x v="0"/>
    <x v="0"/>
    <s v="EQ"/>
    <n v="686"/>
    <n v="690"/>
    <n v="671.1"/>
    <n v="689.8"/>
    <n v="672.4"/>
    <n v="673.2"/>
    <n v="677.59"/>
    <n v="1179"/>
    <n v="667.05"/>
    <n v="14577524"/>
    <n v="290871"/>
  </r>
  <r>
    <x v="24"/>
    <x v="1"/>
    <x v="1"/>
    <x v="0"/>
    <x v="0"/>
    <s v="EQ"/>
    <n v="680"/>
    <n v="692.85"/>
    <n v="675"/>
    <n v="681"/>
    <n v="688.4"/>
    <n v="689.8"/>
    <n v="686.98"/>
    <n v="1179"/>
    <n v="667.05"/>
    <n v="8673335"/>
    <n v="189589"/>
  </r>
  <r>
    <x v="25"/>
    <x v="2"/>
    <x v="1"/>
    <x v="0"/>
    <x v="0"/>
    <s v="EQ"/>
    <n v="681.75"/>
    <n v="690.95"/>
    <n v="675.05"/>
    <n v="682.4"/>
    <n v="681"/>
    <n v="681"/>
    <n v="683.71"/>
    <n v="1179"/>
    <n v="667.05"/>
    <n v="9986815"/>
    <n v="235012"/>
  </r>
  <r>
    <x v="26"/>
    <x v="3"/>
    <x v="1"/>
    <x v="0"/>
    <x v="0"/>
    <s v="EQ"/>
    <n v="686.6"/>
    <n v="687.95"/>
    <n v="672.15"/>
    <n v="686.6"/>
    <n v="682.5"/>
    <n v="682.4"/>
    <n v="678.83"/>
    <n v="1179"/>
    <n v="667.05"/>
    <n v="7810143"/>
    <n v="195803"/>
  </r>
  <r>
    <x v="27"/>
    <x v="4"/>
    <x v="1"/>
    <x v="0"/>
    <x v="0"/>
    <s v="EQ"/>
    <n v="678"/>
    <n v="690.7"/>
    <n v="667.05"/>
    <n v="680.65"/>
    <n v="686.95"/>
    <n v="686.6"/>
    <n v="683.85"/>
    <n v="1179"/>
    <n v="667.05"/>
    <n v="10313575"/>
    <n v="264623"/>
  </r>
  <r>
    <x v="28"/>
    <x v="0"/>
    <x v="1"/>
    <x v="0"/>
    <x v="0"/>
    <s v="EQ"/>
    <n v="685.95"/>
    <n v="690.95"/>
    <n v="669.15"/>
    <n v="683.85"/>
    <n v="678.9"/>
    <n v="680.65"/>
    <n v="678.82"/>
    <n v="1179"/>
    <n v="667.05"/>
    <n v="9968127"/>
    <n v="235954"/>
  </r>
  <r>
    <x v="29"/>
    <x v="1"/>
    <x v="1"/>
    <x v="0"/>
    <x v="0"/>
    <s v="EQ"/>
    <n v="684.35"/>
    <n v="693.15"/>
    <n v="679.35"/>
    <n v="684.35"/>
    <n v="683"/>
    <n v="683.85"/>
    <n v="686.73"/>
    <n v="1179"/>
    <n v="667.05"/>
    <n v="8490769"/>
    <n v="205281"/>
  </r>
  <r>
    <x v="30"/>
    <x v="2"/>
    <x v="1"/>
    <x v="0"/>
    <x v="0"/>
    <s v="EQ"/>
    <n v="680"/>
    <n v="687.55"/>
    <n v="667.05"/>
    <n v="677.75"/>
    <n v="684.7"/>
    <n v="684.35"/>
    <n v="678.94"/>
    <n v="1179"/>
    <n v="667.05"/>
    <n v="12312424"/>
    <n v="303029"/>
  </r>
  <r>
    <x v="31"/>
    <x v="3"/>
    <x v="1"/>
    <x v="0"/>
    <x v="0"/>
    <s v="EQ"/>
    <n v="696"/>
    <n v="697"/>
    <n v="675.1"/>
    <n v="696"/>
    <n v="677.4"/>
    <n v="677.75"/>
    <n v="682.24"/>
    <n v="1179"/>
    <n v="675.1"/>
    <n v="11939990"/>
    <n v="380683"/>
  </r>
  <r>
    <x v="32"/>
    <x v="4"/>
    <x v="1"/>
    <x v="0"/>
    <x v="0"/>
    <s v="EQ"/>
    <n v="709.75"/>
    <n v="709.9"/>
    <n v="693.05"/>
    <n v="706.75"/>
    <n v="695.6"/>
    <n v="696"/>
    <n v="697.76"/>
    <n v="1179"/>
    <n v="683.2"/>
    <n v="10981963"/>
    <n v="238395"/>
  </r>
  <r>
    <x v="33"/>
    <x v="0"/>
    <x v="1"/>
    <x v="0"/>
    <x v="0"/>
    <s v="EQ"/>
    <n v="711"/>
    <n v="715.95"/>
    <n v="703.1"/>
    <n v="709.65"/>
    <n v="706.75"/>
    <n v="706.75"/>
    <n v="709.53"/>
    <n v="1179"/>
    <n v="683.2"/>
    <n v="12259132"/>
    <n v="268831"/>
  </r>
  <r>
    <x v="34"/>
    <x v="1"/>
    <x v="1"/>
    <x v="0"/>
    <x v="0"/>
    <s v="EQ"/>
    <n v="723"/>
    <n v="723.4"/>
    <n v="708.15"/>
    <n v="717.05"/>
    <n v="710.9"/>
    <n v="709.65"/>
    <n v="713.94"/>
    <n v="1179"/>
    <n v="683.2"/>
    <n v="10016927"/>
    <n v="191132"/>
  </r>
  <r>
    <x v="35"/>
    <x v="2"/>
    <x v="1"/>
    <x v="0"/>
    <x v="0"/>
    <s v="EQ"/>
    <n v="711"/>
    <n v="725.45"/>
    <n v="710.7"/>
    <n v="710.55"/>
    <n v="716.95"/>
    <n v="717.05"/>
    <n v="719.3"/>
    <n v="1179"/>
    <n v="683.2"/>
    <n v="12907325"/>
    <n v="241395"/>
  </r>
  <r>
    <x v="36"/>
    <x v="3"/>
    <x v="1"/>
    <x v="0"/>
    <x v="0"/>
    <s v="EQ"/>
    <n v="696.3"/>
    <n v="713.35"/>
    <n v="693.75"/>
    <n v="687.45"/>
    <n v="709.55"/>
    <n v="710.55"/>
    <n v="706.45"/>
    <n v="1179"/>
    <n v="683.2"/>
    <n v="16792005"/>
    <n v="292952"/>
  </r>
  <r>
    <x v="37"/>
    <x v="4"/>
    <x v="1"/>
    <x v="0"/>
    <x v="0"/>
    <s v="EQ"/>
    <n v="700"/>
    <n v="700"/>
    <n v="686"/>
    <n v="706.55"/>
    <n v="687.65"/>
    <n v="687.45"/>
    <n v="689.57"/>
    <n v="1179"/>
    <n v="683.2"/>
    <n v="17806760"/>
    <n v="494904"/>
  </r>
  <r>
    <x v="38"/>
    <x v="5"/>
    <x v="2"/>
    <x v="0"/>
    <x v="0"/>
    <s v="EQ"/>
    <n v="719.5"/>
    <n v="724.75"/>
    <n v="700.9"/>
    <n v="716.1"/>
    <n v="705.9"/>
    <n v="706.55"/>
    <n v="711.99"/>
    <n v="1179"/>
    <n v="683.2"/>
    <n v="14087493"/>
    <n v="297568"/>
  </r>
  <r>
    <x v="39"/>
    <x v="0"/>
    <x v="2"/>
    <x v="0"/>
    <x v="0"/>
    <s v="EQ"/>
    <n v="706"/>
    <n v="717"/>
    <n v="696.45"/>
    <n v="696.85"/>
    <n v="715.7"/>
    <n v="716.1"/>
    <n v="707.31"/>
    <n v="1179"/>
    <n v="683.2"/>
    <n v="19157717"/>
    <n v="340074"/>
  </r>
  <r>
    <x v="40"/>
    <x v="1"/>
    <x v="2"/>
    <x v="0"/>
    <x v="0"/>
    <s v="EQ"/>
    <n v="709"/>
    <n v="710.7"/>
    <n v="683.2"/>
    <n v="752.5"/>
    <n v="699.95"/>
    <n v="696.85"/>
    <n v="698.51"/>
    <n v="1179"/>
    <n v="683.2"/>
    <n v="59390998"/>
    <n v="1094810"/>
  </r>
  <r>
    <x v="41"/>
    <x v="2"/>
    <x v="2"/>
    <x v="0"/>
    <x v="0"/>
    <s v="EQ"/>
    <n v="731.5"/>
    <n v="755"/>
    <n v="726.55"/>
    <n v="728.25"/>
    <n v="754.8"/>
    <n v="752.5"/>
    <n v="742.52"/>
    <n v="1179"/>
    <n v="707.5"/>
    <n v="12461404"/>
    <n v="262830"/>
  </r>
  <r>
    <x v="42"/>
    <x v="3"/>
    <x v="2"/>
    <x v="0"/>
    <x v="0"/>
    <s v="EQ"/>
    <n v="716.5"/>
    <n v="740.85"/>
    <n v="707.5"/>
    <n v="713.05"/>
    <n v="731.9"/>
    <n v="728.25"/>
    <n v="724.61"/>
    <n v="1179"/>
    <n v="707.5"/>
    <n v="16104653"/>
    <n v="320748"/>
  </r>
  <r>
    <x v="43"/>
    <x v="4"/>
    <x v="2"/>
    <x v="0"/>
    <x v="0"/>
    <s v="EQ"/>
    <n v="732.95"/>
    <n v="732.95"/>
    <n v="709.3"/>
    <n v="734.1"/>
    <n v="713"/>
    <n v="713.05"/>
    <n v="718.46"/>
    <n v="1179"/>
    <n v="709.3"/>
    <n v="14123990"/>
    <n v="335720"/>
  </r>
  <r>
    <x v="44"/>
    <x v="0"/>
    <x v="2"/>
    <x v="0"/>
    <x v="0"/>
    <s v="EQ"/>
    <n v="750.05"/>
    <n v="754.15"/>
    <n v="732.2"/>
    <n v="752.5"/>
    <n v="733.4"/>
    <n v="734.1"/>
    <n v="740.71"/>
    <n v="1179"/>
    <n v="717.7"/>
    <n v="9513166"/>
    <n v="211930"/>
  </r>
  <r>
    <x v="45"/>
    <x v="1"/>
    <x v="2"/>
    <x v="0"/>
    <x v="0"/>
    <s v="EQ"/>
    <n v="742.75"/>
    <n v="759.7"/>
    <n v="739.8"/>
    <n v="742.75"/>
    <n v="753"/>
    <n v="752.5"/>
    <n v="751.71"/>
    <n v="1179"/>
    <n v="717.7"/>
    <n v="7916689"/>
    <n v="202401"/>
  </r>
  <r>
    <x v="46"/>
    <x v="2"/>
    <x v="2"/>
    <x v="0"/>
    <x v="0"/>
    <s v="EQ"/>
    <n v="764.15"/>
    <n v="765.45"/>
    <n v="731"/>
    <n v="760.75"/>
    <n v="744.35"/>
    <n v="742.75"/>
    <n v="742.63"/>
    <n v="1179"/>
    <n v="717.7"/>
    <n v="12418474"/>
    <n v="357913"/>
  </r>
  <r>
    <x v="47"/>
    <x v="3"/>
    <x v="2"/>
    <x v="0"/>
    <x v="0"/>
    <s v="EQ"/>
    <n v="775"/>
    <n v="786.65"/>
    <n v="758.4"/>
    <n v="774.35"/>
    <n v="761"/>
    <n v="760.75"/>
    <n v="770.74"/>
    <n v="1179"/>
    <n v="717.7"/>
    <n v="11657178"/>
    <n v="285590"/>
  </r>
  <r>
    <x v="48"/>
    <x v="4"/>
    <x v="2"/>
    <x v="0"/>
    <x v="0"/>
    <s v="EQ"/>
    <n v="780"/>
    <n v="783"/>
    <n v="767"/>
    <n v="779.75"/>
    <n v="773.95"/>
    <n v="774.35"/>
    <n v="774.11"/>
    <n v="1179"/>
    <n v="717.7"/>
    <n v="9956101"/>
    <n v="179913"/>
  </r>
  <r>
    <x v="49"/>
    <x v="0"/>
    <x v="2"/>
    <x v="0"/>
    <x v="0"/>
    <s v="EQ"/>
    <n v="773.9"/>
    <n v="785.5"/>
    <n v="772.25"/>
    <n v="774.35"/>
    <n v="779.9"/>
    <n v="779.75"/>
    <n v="779.92"/>
    <n v="1179"/>
    <n v="717.7"/>
    <n v="7007239"/>
    <n v="146024"/>
  </r>
  <r>
    <x v="50"/>
    <x v="1"/>
    <x v="2"/>
    <x v="0"/>
    <x v="0"/>
    <s v="EQ"/>
    <n v="769.9"/>
    <n v="781"/>
    <n v="767.35"/>
    <n v="763.6"/>
    <n v="775.45"/>
    <n v="774.35"/>
    <n v="775.08"/>
    <n v="1179"/>
    <n v="717.7"/>
    <n v="8680163"/>
    <n v="191171"/>
  </r>
  <r>
    <x v="51"/>
    <x v="2"/>
    <x v="2"/>
    <x v="0"/>
    <x v="0"/>
    <s v="EQ"/>
    <n v="771"/>
    <n v="785"/>
    <n v="756.05"/>
    <n v="770.5"/>
    <n v="763"/>
    <n v="763.6"/>
    <n v="766.16"/>
    <n v="1179"/>
    <n v="717.7"/>
    <n v="10500910"/>
    <n v="249215"/>
  </r>
  <r>
    <x v="52"/>
    <x v="3"/>
    <x v="2"/>
    <x v="0"/>
    <x v="0"/>
    <s v="EQ"/>
    <n v="751.5"/>
    <n v="779"/>
    <n v="751.5"/>
    <n v="751"/>
    <n v="772.3"/>
    <n v="770.5"/>
    <n v="772.37"/>
    <n v="1179"/>
    <n v="717.7"/>
    <n v="11377053"/>
    <n v="277895"/>
  </r>
  <r>
    <x v="53"/>
    <x v="4"/>
    <x v="2"/>
    <x v="0"/>
    <x v="0"/>
    <s v="EQ"/>
    <n v="769"/>
    <n v="773.55"/>
    <n v="748.8"/>
    <n v="774.65"/>
    <n v="750.6"/>
    <n v="751"/>
    <n v="760.91"/>
    <n v="1179"/>
    <n v="717.7"/>
    <n v="12230175"/>
    <n v="305264"/>
  </r>
  <r>
    <x v="54"/>
    <x v="0"/>
    <x v="2"/>
    <x v="0"/>
    <x v="0"/>
    <s v="EQ"/>
    <n v="780.05"/>
    <n v="787.95"/>
    <n v="766.8"/>
    <n v="780.1"/>
    <n v="776.5"/>
    <n v="774.65"/>
    <n v="778.29"/>
    <n v="1179"/>
    <n v="717.7"/>
    <n v="11144005"/>
    <n v="274052"/>
  </r>
  <r>
    <x v="55"/>
    <x v="1"/>
    <x v="2"/>
    <x v="0"/>
    <x v="0"/>
    <s v="EQ"/>
    <n v="800"/>
    <n v="810"/>
    <n v="769.45"/>
    <n v="794.95"/>
    <n v="781.4"/>
    <n v="780.1"/>
    <n v="784.85"/>
    <n v="1179"/>
    <n v="717.7"/>
    <n v="17948464"/>
    <n v="366805"/>
  </r>
  <r>
    <x v="56"/>
    <x v="2"/>
    <x v="2"/>
    <x v="0"/>
    <x v="0"/>
    <s v="EQ"/>
    <n v="792.6"/>
    <n v="797"/>
    <n v="781.65"/>
    <n v="793.25"/>
    <n v="795.5"/>
    <n v="794.95"/>
    <n v="789.86"/>
    <n v="1179"/>
    <n v="717.7"/>
    <n v="11861066"/>
    <n v="255679"/>
  </r>
  <r>
    <x v="57"/>
    <x v="3"/>
    <x v="2"/>
    <x v="0"/>
    <x v="0"/>
    <s v="EQ"/>
    <n v="776"/>
    <n v="796.95"/>
    <n v="772.5"/>
    <n v="776.25"/>
    <n v="792.5"/>
    <n v="793.25"/>
    <n v="787.61"/>
    <n v="1179"/>
    <n v="717.7"/>
    <n v="15547971"/>
    <n v="314304"/>
  </r>
  <r>
    <x v="58"/>
    <x v="4"/>
    <x v="2"/>
    <x v="0"/>
    <x v="0"/>
    <s v="EQ"/>
    <n v="797.7"/>
    <n v="797.7"/>
    <n v="765.3"/>
    <n v="790.4"/>
    <n v="776"/>
    <n v="776.25"/>
    <n v="783.03"/>
    <n v="1179"/>
    <n v="717.7"/>
    <n v="16948151"/>
    <n v="358878"/>
  </r>
  <r>
    <x v="59"/>
    <x v="0"/>
    <x v="2"/>
    <x v="0"/>
    <x v="0"/>
    <s v="EQ"/>
    <n v="768"/>
    <n v="800.6"/>
    <n v="761.45"/>
    <n v="765.05"/>
    <n v="789"/>
    <n v="790.4"/>
    <n v="786.86"/>
    <n v="1179"/>
    <n v="717.7"/>
    <n v="24773025"/>
    <n v="457866"/>
  </r>
  <r>
    <x v="60"/>
    <x v="1"/>
    <x v="2"/>
    <x v="0"/>
    <x v="0"/>
    <s v="EQ"/>
    <n v="759.3"/>
    <n v="767.35"/>
    <n v="749.35"/>
    <n v="749.25"/>
    <n v="764.85"/>
    <n v="765.05"/>
    <n v="757.34"/>
    <n v="1179"/>
    <n v="717.7"/>
    <n v="15294572"/>
    <n v="306615"/>
  </r>
  <r>
    <x v="61"/>
    <x v="2"/>
    <x v="3"/>
    <x v="0"/>
    <x v="0"/>
    <s v="EQ"/>
    <n v="740.45"/>
    <n v="751.1"/>
    <n v="736"/>
    <n v="740.15"/>
    <n v="749.85"/>
    <n v="749.25"/>
    <n v="744.36"/>
    <n v="1179"/>
    <n v="717.7"/>
    <n v="7792251"/>
    <n v="170318"/>
  </r>
  <r>
    <x v="62"/>
    <x v="3"/>
    <x v="3"/>
    <x v="1"/>
    <x v="1"/>
    <s v="EQ"/>
    <n v="733.65"/>
    <n v="743.4"/>
    <n v="732.75"/>
    <n v="733.65"/>
    <n v="741.8"/>
    <n v="740.15"/>
    <n v="738.63"/>
    <n v="1179"/>
    <n v="717.7"/>
    <n v="7092699"/>
    <n v="176250"/>
  </r>
  <r>
    <x v="63"/>
    <x v="4"/>
    <x v="3"/>
    <x v="1"/>
    <x v="1"/>
    <s v="EQ"/>
    <n v="753.9"/>
    <n v="754.9"/>
    <n v="730.7"/>
    <n v="750.5"/>
    <n v="735.25"/>
    <n v="733.65"/>
    <n v="738.19"/>
    <n v="1179"/>
    <n v="717.7"/>
    <n v="17441198"/>
    <n v="276286"/>
  </r>
  <r>
    <x v="64"/>
    <x v="0"/>
    <x v="3"/>
    <x v="1"/>
    <x v="1"/>
    <s v="EQ"/>
    <n v="749"/>
    <n v="766.85"/>
    <n v="745.7"/>
    <n v="740.8"/>
    <n v="754"/>
    <n v="750.5"/>
    <n v="756.69"/>
    <n v="1179"/>
    <n v="716.6"/>
    <n v="15835079"/>
    <n v="316642"/>
  </r>
  <r>
    <x v="65"/>
    <x v="1"/>
    <x v="3"/>
    <x v="1"/>
    <x v="1"/>
    <s v="EQ"/>
    <n v="736.1"/>
    <n v="747.8"/>
    <n v="735.55"/>
    <n v="736.1"/>
    <n v="741.5"/>
    <n v="740.8"/>
    <n v="741.74"/>
    <n v="1179"/>
    <n v="716.6"/>
    <n v="9343210"/>
    <n v="235149"/>
  </r>
  <r>
    <x v="66"/>
    <x v="3"/>
    <x v="3"/>
    <x v="1"/>
    <x v="1"/>
    <s v="EQ"/>
    <n v="723.5"/>
    <n v="745.3"/>
    <n v="722.5"/>
    <n v="722.2"/>
    <n v="735.1"/>
    <n v="736.1"/>
    <n v="736.4"/>
    <n v="1179"/>
    <n v="716.6"/>
    <n v="12553555"/>
    <n v="266530"/>
  </r>
  <r>
    <x v="67"/>
    <x v="4"/>
    <x v="3"/>
    <x v="1"/>
    <x v="1"/>
    <s v="EQ"/>
    <n v="733.7"/>
    <n v="734.4"/>
    <n v="717.7"/>
    <n v="724.05"/>
    <n v="721.5"/>
    <n v="722.2"/>
    <n v="726.35"/>
    <n v="1179"/>
    <n v="716.6"/>
    <n v="9653868"/>
    <n v="293999"/>
  </r>
  <r>
    <x v="68"/>
    <x v="0"/>
    <x v="3"/>
    <x v="1"/>
    <x v="1"/>
    <s v="EQ"/>
    <n v="744.3"/>
    <n v="749.55"/>
    <n v="721.5"/>
    <n v="744.05"/>
    <n v="724.3"/>
    <n v="724.05"/>
    <n v="732.88"/>
    <n v="1179"/>
    <n v="696.25"/>
    <n v="17962656"/>
    <n v="414949"/>
  </r>
  <r>
    <x v="69"/>
    <x v="1"/>
    <x v="3"/>
    <x v="1"/>
    <x v="1"/>
    <s v="EQ"/>
    <n v="744.45"/>
    <n v="755.8"/>
    <n v="741.4"/>
    <n v="755.7"/>
    <n v="745.75"/>
    <n v="744.05"/>
    <n v="746.59"/>
    <n v="1179"/>
    <n v="696.25"/>
    <n v="17119599"/>
    <n v="377991"/>
  </r>
  <r>
    <x v="70"/>
    <x v="2"/>
    <x v="3"/>
    <x v="1"/>
    <x v="1"/>
    <s v="EQ"/>
    <n v="774"/>
    <n v="774.25"/>
    <n v="754"/>
    <n v="779.75"/>
    <n v="757"/>
    <n v="755.7"/>
    <n v="761.07"/>
    <n v="1179"/>
    <n v="696.25"/>
    <n v="19085263"/>
    <n v="508261"/>
  </r>
  <r>
    <x v="71"/>
    <x v="3"/>
    <x v="3"/>
    <x v="1"/>
    <x v="1"/>
    <s v="EQ"/>
    <n v="785.5"/>
    <n v="796.35"/>
    <n v="778"/>
    <n v="784.8"/>
    <n v="779.9"/>
    <n v="779.75"/>
    <n v="786.01"/>
    <n v="1179"/>
    <n v="696.25"/>
    <n v="10270253"/>
    <n v="229057"/>
  </r>
  <r>
    <x v="72"/>
    <x v="4"/>
    <x v="3"/>
    <x v="1"/>
    <x v="1"/>
    <s v="EQ"/>
    <n v="791.4"/>
    <n v="793.95"/>
    <n v="783"/>
    <n v="790.3"/>
    <n v="785.3"/>
    <n v="784.8"/>
    <n v="786.38"/>
    <n v="1179"/>
    <n v="696.25"/>
    <n v="10015361"/>
    <n v="199508"/>
  </r>
  <r>
    <x v="73"/>
    <x v="0"/>
    <x v="3"/>
    <x v="1"/>
    <x v="1"/>
    <s v="EQ"/>
    <n v="789"/>
    <n v="792.5"/>
    <n v="775"/>
    <n v="786.35"/>
    <n v="790.7"/>
    <n v="790.3"/>
    <n v="784.9"/>
    <n v="1179"/>
    <n v="696.25"/>
    <n v="14101869"/>
    <n v="354253"/>
  </r>
  <r>
    <x v="74"/>
    <x v="1"/>
    <x v="3"/>
    <x v="1"/>
    <x v="1"/>
    <s v="EQ"/>
    <n v="799.2"/>
    <n v="802"/>
    <n v="785.5"/>
    <n v="799.1"/>
    <n v="787"/>
    <n v="786.35"/>
    <n v="789.09"/>
    <n v="1179"/>
    <n v="696.25"/>
    <n v="10602758"/>
    <n v="284424"/>
  </r>
  <r>
    <x v="75"/>
    <x v="2"/>
    <x v="3"/>
    <x v="1"/>
    <x v="1"/>
    <s v="EQ"/>
    <n v="802.9"/>
    <n v="806.95"/>
    <n v="798.2"/>
    <n v="799.9"/>
    <n v="799.45"/>
    <n v="799.1"/>
    <n v="802.54"/>
    <n v="1179"/>
    <n v="696.25"/>
    <n v="7763357"/>
    <n v="159000"/>
  </r>
  <r>
    <x v="76"/>
    <x v="3"/>
    <x v="3"/>
    <x v="1"/>
    <x v="1"/>
    <s v="EQ"/>
    <n v="804.8"/>
    <n v="810.45"/>
    <n v="797.45"/>
    <n v="798.75"/>
    <n v="801"/>
    <n v="799.9"/>
    <n v="803.15"/>
    <n v="1179"/>
    <n v="696.25"/>
    <n v="13113082"/>
    <n v="234736"/>
  </r>
  <r>
    <x v="77"/>
    <x v="4"/>
    <x v="3"/>
    <x v="1"/>
    <x v="1"/>
    <s v="EQ"/>
    <n v="816.8"/>
    <n v="820.35"/>
    <n v="797"/>
    <n v="816.8"/>
    <n v="799.7"/>
    <n v="798.75"/>
    <n v="807.57"/>
    <n v="1179"/>
    <n v="696.25"/>
    <n v="15573233"/>
    <n v="308424"/>
  </r>
  <r>
    <x v="78"/>
    <x v="0"/>
    <x v="3"/>
    <x v="1"/>
    <x v="1"/>
    <s v="EQ"/>
    <n v="793"/>
    <n v="818.85"/>
    <n v="785.3"/>
    <n v="792.55"/>
    <n v="818"/>
    <n v="816.8"/>
    <n v="802.57"/>
    <n v="1179"/>
    <n v="696.25"/>
    <n v="19716910"/>
    <n v="347712"/>
  </r>
  <r>
    <x v="79"/>
    <x v="1"/>
    <x v="3"/>
    <x v="1"/>
    <x v="1"/>
    <s v="EQ"/>
    <n v="793"/>
    <n v="797.5"/>
    <n v="781"/>
    <n v="788.1"/>
    <n v="793"/>
    <n v="792.55"/>
    <n v="789.55"/>
    <n v="1179"/>
    <n v="696.25"/>
    <n v="12169428"/>
    <n v="265144"/>
  </r>
  <r>
    <x v="80"/>
    <x v="2"/>
    <x v="3"/>
    <x v="1"/>
    <x v="1"/>
    <s v="EQ"/>
    <n v="805"/>
    <n v="806"/>
    <n v="784.05"/>
    <n v="801.25"/>
    <n v="788.2"/>
    <n v="788.1"/>
    <n v="791.95"/>
    <n v="1179"/>
    <n v="696.25"/>
    <n v="12392259"/>
    <n v="380565"/>
  </r>
  <r>
    <x v="81"/>
    <x v="3"/>
    <x v="3"/>
    <x v="1"/>
    <x v="1"/>
    <s v="EQ"/>
    <n v="795"/>
    <n v="806"/>
    <n v="790"/>
    <n v="790.05"/>
    <n v="800.1"/>
    <n v="801.25"/>
    <n v="798.05"/>
    <n v="1179"/>
    <n v="696.25"/>
    <n v="9874135"/>
    <n v="227850"/>
  </r>
  <r>
    <x v="82"/>
    <x v="4"/>
    <x v="4"/>
    <x v="1"/>
    <x v="1"/>
    <s v="EQ"/>
    <n v="787.3"/>
    <n v="796.75"/>
    <n v="785"/>
    <n v="786.45"/>
    <n v="790.15"/>
    <n v="790.05"/>
    <n v="790.4"/>
    <n v="1179"/>
    <n v="696.25"/>
    <n v="8425826"/>
    <n v="217075"/>
  </r>
  <r>
    <x v="83"/>
    <x v="0"/>
    <x v="4"/>
    <x v="1"/>
    <x v="1"/>
    <s v="EQ"/>
    <n v="779.5"/>
    <n v="789.4"/>
    <n v="777.05"/>
    <n v="779.45"/>
    <n v="787.35"/>
    <n v="786.45"/>
    <n v="784.67"/>
    <n v="1179"/>
    <n v="674.25"/>
    <n v="10358590"/>
    <n v="215035"/>
  </r>
  <r>
    <x v="84"/>
    <x v="1"/>
    <x v="4"/>
    <x v="1"/>
    <x v="1"/>
    <s v="EQ"/>
    <n v="783"/>
    <n v="792.55"/>
    <n v="778"/>
    <n v="783.95"/>
    <n v="781.5"/>
    <n v="779.45"/>
    <n v="784.58"/>
    <n v="1179"/>
    <n v="674.25"/>
    <n v="10939142"/>
    <n v="272953"/>
  </r>
  <r>
    <x v="85"/>
    <x v="2"/>
    <x v="4"/>
    <x v="1"/>
    <x v="1"/>
    <s v="EQ"/>
    <n v="785.05"/>
    <n v="791.9"/>
    <n v="779.1"/>
    <n v="783"/>
    <n v="785.2"/>
    <n v="783.95"/>
    <n v="785.34"/>
    <n v="1179"/>
    <n v="674.25"/>
    <n v="10014685"/>
    <n v="200451"/>
  </r>
  <r>
    <x v="86"/>
    <x v="3"/>
    <x v="4"/>
    <x v="1"/>
    <x v="1"/>
    <s v="EQ"/>
    <n v="797.15"/>
    <n v="801.8"/>
    <n v="780.15"/>
    <n v="796.6"/>
    <n v="784.2"/>
    <n v="783"/>
    <n v="789.35"/>
    <n v="1179"/>
    <n v="674.25"/>
    <n v="10310838"/>
    <n v="227912"/>
  </r>
  <r>
    <x v="87"/>
    <x v="4"/>
    <x v="4"/>
    <x v="1"/>
    <x v="1"/>
    <s v="EQ"/>
    <n v="808.05"/>
    <n v="810.2"/>
    <n v="793.65"/>
    <n v="791"/>
    <n v="797.4"/>
    <n v="796.6"/>
    <n v="799.7"/>
    <n v="1179"/>
    <n v="674.25"/>
    <n v="15194167"/>
    <n v="263327"/>
  </r>
  <r>
    <x v="88"/>
    <x v="0"/>
    <x v="4"/>
    <x v="1"/>
    <x v="1"/>
    <s v="EQ"/>
    <n v="775"/>
    <n v="794"/>
    <n v="775"/>
    <n v="773.85"/>
    <n v="794"/>
    <n v="791"/>
    <n v="784.59"/>
    <n v="1179"/>
    <n v="670.7"/>
    <n v="14535112"/>
    <n v="300768"/>
  </r>
  <r>
    <x v="89"/>
    <x v="1"/>
    <x v="4"/>
    <x v="1"/>
    <x v="1"/>
    <s v="EQ"/>
    <n v="784.95"/>
    <n v="785.95"/>
    <n v="766.25"/>
    <n v="783.2"/>
    <n v="774"/>
    <n v="773.85"/>
    <n v="775.95"/>
    <n v="1179"/>
    <n v="670.7"/>
    <n v="14194678"/>
    <n v="319937"/>
  </r>
  <r>
    <x v="90"/>
    <x v="3"/>
    <x v="4"/>
    <x v="1"/>
    <x v="1"/>
    <s v="EQ"/>
    <n v="771.9"/>
    <n v="799.9"/>
    <n v="771.9"/>
    <n v="771.9"/>
    <n v="781.95"/>
    <n v="783.2"/>
    <n v="790.2"/>
    <n v="1179"/>
    <n v="670.7"/>
    <n v="14012014"/>
    <n v="279101"/>
  </r>
  <r>
    <x v="91"/>
    <x v="4"/>
    <x v="4"/>
    <x v="1"/>
    <x v="1"/>
    <s v="EQ"/>
    <n v="778"/>
    <n v="781.75"/>
    <n v="759.2"/>
    <n v="774.3"/>
    <n v="772.5"/>
    <n v="771.9"/>
    <n v="770.6"/>
    <n v="1179"/>
    <n v="670.7"/>
    <n v="17053446"/>
    <n v="419815"/>
  </r>
  <r>
    <x v="92"/>
    <x v="1"/>
    <x v="4"/>
    <x v="1"/>
    <x v="1"/>
    <s v="EQ"/>
    <n v="786.6"/>
    <n v="792"/>
    <n v="772"/>
    <n v="786.25"/>
    <n v="776"/>
    <n v="774.3"/>
    <n v="779.43"/>
    <n v="1179"/>
    <n v="649.29999999999995"/>
    <n v="11740909"/>
    <n v="313693"/>
  </r>
  <r>
    <x v="93"/>
    <x v="2"/>
    <x v="4"/>
    <x v="1"/>
    <x v="1"/>
    <s v="EQ"/>
    <n v="787"/>
    <n v="792.65"/>
    <n v="775.55"/>
    <n v="784.85"/>
    <n v="786.85"/>
    <n v="786.25"/>
    <n v="785.62"/>
    <n v="1179"/>
    <n v="649.29999999999995"/>
    <n v="14674022"/>
    <n v="391032"/>
  </r>
  <r>
    <x v="94"/>
    <x v="3"/>
    <x v="4"/>
    <x v="1"/>
    <x v="1"/>
    <s v="EQ"/>
    <n v="806"/>
    <n v="813.1"/>
    <n v="783.05"/>
    <n v="804.7"/>
    <n v="784.75"/>
    <n v="784.85"/>
    <n v="792.6"/>
    <n v="1179"/>
    <n v="649.29999999999995"/>
    <n v="16526921"/>
    <n v="594079"/>
  </r>
  <r>
    <x v="95"/>
    <x v="4"/>
    <x v="4"/>
    <x v="1"/>
    <x v="1"/>
    <s v="EQ"/>
    <n v="801"/>
    <n v="831.45"/>
    <n v="792"/>
    <n v="805.45"/>
    <n v="805"/>
    <n v="804.7"/>
    <n v="816.67"/>
    <n v="1179"/>
    <n v="649.29999999999995"/>
    <n v="27587619"/>
    <n v="575463"/>
  </r>
  <r>
    <x v="96"/>
    <x v="0"/>
    <x v="4"/>
    <x v="1"/>
    <x v="1"/>
    <s v="EQ"/>
    <n v="821.95"/>
    <n v="822"/>
    <n v="801.1"/>
    <n v="819.75"/>
    <n v="803.55"/>
    <n v="805.45"/>
    <n v="807.29"/>
    <n v="1179"/>
    <n v="641.9"/>
    <n v="16072692"/>
    <n v="478152"/>
  </r>
  <r>
    <x v="97"/>
    <x v="1"/>
    <x v="4"/>
    <x v="1"/>
    <x v="1"/>
    <s v="EQ"/>
    <n v="841"/>
    <n v="842.75"/>
    <n v="817.3"/>
    <n v="839.7"/>
    <n v="821.8"/>
    <n v="819.75"/>
    <n v="826.73"/>
    <n v="1179"/>
    <n v="641.9"/>
    <n v="13237161"/>
    <n v="381746"/>
  </r>
  <r>
    <x v="98"/>
    <x v="2"/>
    <x v="4"/>
    <x v="1"/>
    <x v="1"/>
    <s v="EQ"/>
    <n v="843.9"/>
    <n v="843.9"/>
    <n v="826"/>
    <n v="835.65"/>
    <n v="840.5"/>
    <n v="839.7"/>
    <n v="836.11"/>
    <n v="1179"/>
    <n v="641.9"/>
    <n v="10579596"/>
    <n v="273406"/>
  </r>
  <r>
    <x v="99"/>
    <x v="3"/>
    <x v="4"/>
    <x v="1"/>
    <x v="1"/>
    <s v="EQ"/>
    <n v="821.5"/>
    <n v="843.6"/>
    <n v="820.4"/>
    <n v="824.1"/>
    <n v="835.6"/>
    <n v="835.65"/>
    <n v="832.4"/>
    <n v="1179"/>
    <n v="641.9"/>
    <n v="10215249"/>
    <n v="255937"/>
  </r>
  <r>
    <x v="100"/>
    <x v="4"/>
    <x v="4"/>
    <x v="1"/>
    <x v="1"/>
    <s v="EQ"/>
    <n v="840"/>
    <n v="844.45"/>
    <n v="814.5"/>
    <n v="843.45"/>
    <n v="824.2"/>
    <n v="824.1"/>
    <n v="822.77"/>
    <n v="1179"/>
    <n v="641.9"/>
    <n v="15514419"/>
    <n v="467713"/>
  </r>
  <r>
    <x v="101"/>
    <x v="0"/>
    <x v="5"/>
    <x v="1"/>
    <x v="1"/>
    <s v="EQ"/>
    <n v="847.95"/>
    <n v="847.95"/>
    <n v="840"/>
    <n v="834.05"/>
    <n v="843.1"/>
    <n v="843.45"/>
    <n v="844.54"/>
    <n v="1179"/>
    <n v="621.85"/>
    <n v="2900548"/>
    <n v="134792"/>
  </r>
  <r>
    <x v="102"/>
    <x v="1"/>
    <x v="5"/>
    <x v="1"/>
    <x v="1"/>
    <s v="EQ"/>
    <n v="843.85"/>
    <n v="843.85"/>
    <n v="831.85"/>
    <n v="840.2"/>
    <n v="835.25"/>
    <n v="834.05"/>
    <n v="835.59"/>
    <n v="1179"/>
    <n v="621.85"/>
    <n v="11904413"/>
    <n v="287659"/>
  </r>
  <r>
    <x v="103"/>
    <x v="2"/>
    <x v="5"/>
    <x v="1"/>
    <x v="1"/>
    <s v="EQ"/>
    <n v="846"/>
    <n v="853.6"/>
    <n v="838.05"/>
    <n v="842.75"/>
    <n v="840"/>
    <n v="840.2"/>
    <n v="845.85"/>
    <n v="1179"/>
    <n v="621.85"/>
    <n v="12933218"/>
    <n v="328464"/>
  </r>
  <r>
    <x v="104"/>
    <x v="3"/>
    <x v="5"/>
    <x v="1"/>
    <x v="1"/>
    <s v="EQ"/>
    <n v="880.25"/>
    <n v="882.5"/>
    <n v="825.7"/>
    <n v="878.45"/>
    <n v="844"/>
    <n v="842.75"/>
    <n v="843.06"/>
    <n v="1179"/>
    <n v="621.85"/>
    <n v="26818871"/>
    <n v="726757"/>
  </r>
  <r>
    <x v="105"/>
    <x v="4"/>
    <x v="5"/>
    <x v="1"/>
    <x v="1"/>
    <s v="EQ"/>
    <n v="867.85"/>
    <n v="886.75"/>
    <n v="860.2"/>
    <n v="864.3"/>
    <n v="881.9"/>
    <n v="878.45"/>
    <n v="876.38"/>
    <n v="1179"/>
    <n v="621.85"/>
    <n v="7106045"/>
    <n v="203043"/>
  </r>
  <r>
    <x v="106"/>
    <x v="0"/>
    <x v="5"/>
    <x v="1"/>
    <x v="1"/>
    <s v="EQ"/>
    <n v="883.9"/>
    <n v="885.75"/>
    <n v="857.3"/>
    <n v="880"/>
    <n v="864.05"/>
    <n v="864.3"/>
    <n v="865.79"/>
    <n v="1179"/>
    <n v="621.85"/>
    <n v="10873022"/>
    <n v="379450"/>
  </r>
  <r>
    <x v="107"/>
    <x v="1"/>
    <x v="5"/>
    <x v="1"/>
    <x v="1"/>
    <s v="EQ"/>
    <n v="875.25"/>
    <n v="890"/>
    <n v="875.25"/>
    <n v="877.65"/>
    <n v="880.5"/>
    <n v="880"/>
    <n v="882.7"/>
    <n v="1179"/>
    <n v="621.85"/>
    <n v="7233484"/>
    <n v="286907"/>
  </r>
  <r>
    <x v="108"/>
    <x v="2"/>
    <x v="5"/>
    <x v="1"/>
    <x v="1"/>
    <s v="EQ"/>
    <n v="879"/>
    <n v="885.6"/>
    <n v="863.3"/>
    <n v="879.5"/>
    <n v="876"/>
    <n v="877.65"/>
    <n v="876.37"/>
    <n v="1179"/>
    <n v="621.85"/>
    <n v="10553771"/>
    <n v="356148"/>
  </r>
  <r>
    <x v="109"/>
    <x v="3"/>
    <x v="5"/>
    <x v="1"/>
    <x v="1"/>
    <s v="EQ"/>
    <n v="905"/>
    <n v="906.1"/>
    <n v="875.25"/>
    <n v="903.3"/>
    <n v="881.5"/>
    <n v="879.5"/>
    <n v="886.02"/>
    <n v="1179"/>
    <n v="621.85"/>
    <n v="13617490"/>
    <n v="532014"/>
  </r>
  <r>
    <x v="110"/>
    <x v="4"/>
    <x v="5"/>
    <x v="1"/>
    <x v="1"/>
    <s v="EQ"/>
    <n v="912.05"/>
    <n v="917.65"/>
    <n v="898.1"/>
    <n v="910.15"/>
    <n v="902.75"/>
    <n v="903.3"/>
    <n v="905.03"/>
    <n v="1179"/>
    <n v="621.85"/>
    <n v="7390557"/>
    <n v="204274"/>
  </r>
  <r>
    <x v="111"/>
    <x v="0"/>
    <x v="5"/>
    <x v="1"/>
    <x v="1"/>
    <s v="EQ"/>
    <n v="894.3"/>
    <n v="917.7"/>
    <n v="886.8"/>
    <n v="891.6"/>
    <n v="911"/>
    <n v="910.15"/>
    <n v="906.85"/>
    <n v="1179"/>
    <n v="621.85"/>
    <n v="11527914"/>
    <n v="300927"/>
  </r>
  <r>
    <x v="112"/>
    <x v="1"/>
    <x v="5"/>
    <x v="1"/>
    <x v="1"/>
    <s v="EQ"/>
    <n v="914.95"/>
    <n v="914.95"/>
    <n v="890.05"/>
    <n v="907.45"/>
    <n v="894.3"/>
    <n v="891.6"/>
    <n v="899.88"/>
    <n v="1179"/>
    <n v="621.85"/>
    <n v="13864583"/>
    <n v="552996"/>
  </r>
  <r>
    <x v="113"/>
    <x v="2"/>
    <x v="5"/>
    <x v="1"/>
    <x v="1"/>
    <s v="EQ"/>
    <n v="917.05"/>
    <n v="923"/>
    <n v="900"/>
    <n v="917.3"/>
    <n v="906.15"/>
    <n v="907.45"/>
    <n v="909.4"/>
    <n v="1179"/>
    <n v="621.85"/>
    <n v="10298258"/>
    <n v="370552"/>
  </r>
  <r>
    <x v="114"/>
    <x v="3"/>
    <x v="5"/>
    <x v="1"/>
    <x v="1"/>
    <s v="EQ"/>
    <n v="932.95"/>
    <n v="935.35"/>
    <n v="913"/>
    <n v="928.25"/>
    <n v="918.9"/>
    <n v="917.3"/>
    <n v="920.38"/>
    <n v="1179"/>
    <n v="621.85"/>
    <n v="9058919"/>
    <n v="281499"/>
  </r>
  <r>
    <x v="115"/>
    <x v="4"/>
    <x v="5"/>
    <x v="1"/>
    <x v="1"/>
    <s v="EQ"/>
    <n v="930"/>
    <n v="940"/>
    <n v="925.35"/>
    <n v="930.7"/>
    <n v="929"/>
    <n v="928.25"/>
    <n v="932.68"/>
    <n v="1179"/>
    <n v="621.85"/>
    <n v="5740649"/>
    <n v="207829"/>
  </r>
  <r>
    <x v="116"/>
    <x v="0"/>
    <x v="5"/>
    <x v="1"/>
    <x v="1"/>
    <s v="EQ"/>
    <n v="932"/>
    <n v="937"/>
    <n v="928.5"/>
    <n v="928.5"/>
    <n v="931.4"/>
    <n v="930.7"/>
    <n v="932.01"/>
    <n v="1179"/>
    <n v="613.70000000000005"/>
    <n v="4459529"/>
    <n v="151010"/>
  </r>
  <r>
    <x v="117"/>
    <x v="1"/>
    <x v="5"/>
    <x v="1"/>
    <x v="1"/>
    <s v="EQ"/>
    <n v="933.75"/>
    <n v="943.6"/>
    <n v="912.35"/>
    <n v="939.15"/>
    <n v="930.6"/>
    <n v="928.5"/>
    <n v="932.19"/>
    <n v="1179"/>
    <n v="613.70000000000005"/>
    <n v="13249851"/>
    <n v="350137"/>
  </r>
  <r>
    <x v="118"/>
    <x v="2"/>
    <x v="5"/>
    <x v="1"/>
    <x v="1"/>
    <s v="EQ"/>
    <n v="926.8"/>
    <n v="948.45"/>
    <n v="925.5"/>
    <n v="919.8"/>
    <n v="939"/>
    <n v="939.15"/>
    <n v="941.16"/>
    <n v="1179"/>
    <n v="613.70000000000005"/>
    <n v="11557737"/>
    <n v="317263"/>
  </r>
  <r>
    <x v="119"/>
    <x v="3"/>
    <x v="5"/>
    <x v="1"/>
    <x v="1"/>
    <s v="EQ"/>
    <n v="916"/>
    <n v="924.8"/>
    <n v="893.85"/>
    <n v="927.85"/>
    <n v="924.8"/>
    <n v="919.8"/>
    <n v="909.63"/>
    <n v="1179"/>
    <n v="613.70000000000005"/>
    <n v="21177886"/>
    <n v="581422"/>
  </r>
  <r>
    <x v="120"/>
    <x v="4"/>
    <x v="5"/>
    <x v="1"/>
    <x v="1"/>
    <s v="EQ"/>
    <n v="942"/>
    <n v="944.45"/>
    <n v="915"/>
    <n v="930.75"/>
    <n v="928.3"/>
    <n v="927.85"/>
    <n v="929.05"/>
    <n v="1179"/>
    <n v="613.70000000000005"/>
    <n v="11772546"/>
    <n v="349818"/>
  </r>
  <r>
    <x v="121"/>
    <x v="0"/>
    <x v="5"/>
    <x v="1"/>
    <x v="1"/>
    <s v="EQ"/>
    <n v="930"/>
    <n v="949.2"/>
    <n v="920"/>
    <n v="925.7"/>
    <n v="933.55"/>
    <n v="930.75"/>
    <n v="934.22"/>
    <n v="1179"/>
    <n v="608.29999999999995"/>
    <n v="19187758"/>
    <n v="464043"/>
  </r>
  <r>
    <x v="122"/>
    <x v="1"/>
    <x v="5"/>
    <x v="1"/>
    <x v="1"/>
    <s v="EQ"/>
    <n v="939"/>
    <n v="950.15"/>
    <n v="925"/>
    <n v="965.2"/>
    <n v="928.8"/>
    <n v="925.7"/>
    <n v="934.51"/>
    <n v="1179"/>
    <n v="608.29999999999995"/>
    <n v="24418517"/>
    <n v="867561"/>
  </r>
  <r>
    <x v="123"/>
    <x v="3"/>
    <x v="6"/>
    <x v="1"/>
    <x v="1"/>
    <s v="EQ"/>
    <n v="976.9"/>
    <n v="984.5"/>
    <n v="958.9"/>
    <n v="974.65"/>
    <n v="966.4"/>
    <n v="965.2"/>
    <n v="972.72"/>
    <n v="1179"/>
    <n v="608.29999999999995"/>
    <n v="10085203"/>
    <n v="247160"/>
  </r>
  <r>
    <x v="124"/>
    <x v="4"/>
    <x v="6"/>
    <x v="2"/>
    <x v="1"/>
    <s v="EQ"/>
    <n v="993"/>
    <n v="996.95"/>
    <n v="971.8"/>
    <n v="993"/>
    <n v="975.8"/>
    <n v="974.65"/>
    <n v="979.12"/>
    <n v="1179"/>
    <n v="608.29999999999995"/>
    <n v="12225895"/>
    <n v="375285"/>
  </r>
  <r>
    <x v="125"/>
    <x v="0"/>
    <x v="6"/>
    <x v="2"/>
    <x v="1"/>
    <s v="EQ"/>
    <n v="996"/>
    <n v="1000.4"/>
    <n v="989.15"/>
    <n v="993.15"/>
    <n v="989.9"/>
    <n v="993"/>
    <n v="994.16"/>
    <n v="1179"/>
    <n v="608.29999999999995"/>
    <n v="10360030"/>
    <n v="302339"/>
  </r>
  <r>
    <x v="126"/>
    <x v="1"/>
    <x v="6"/>
    <x v="2"/>
    <x v="1"/>
    <s v="EQ"/>
    <n v="970.8"/>
    <n v="994.95"/>
    <n v="965.6"/>
    <n v="963.6"/>
    <n v="990.9"/>
    <n v="993.15"/>
    <n v="984.31"/>
    <n v="1179"/>
    <n v="608.29999999999995"/>
    <n v="21640021"/>
    <n v="411197"/>
  </r>
  <r>
    <x v="127"/>
    <x v="2"/>
    <x v="6"/>
    <x v="2"/>
    <x v="1"/>
    <s v="EQ"/>
    <n v="982.4"/>
    <n v="982.5"/>
    <n v="959.25"/>
    <n v="977.3"/>
    <n v="964"/>
    <n v="963.6"/>
    <n v="965.11"/>
    <n v="1179"/>
    <n v="608.29999999999995"/>
    <n v="12959075"/>
    <n v="483047"/>
  </r>
  <r>
    <x v="128"/>
    <x v="3"/>
    <x v="6"/>
    <x v="2"/>
    <x v="1"/>
    <s v="EQ"/>
    <n v="974"/>
    <n v="985"/>
    <n v="972.6"/>
    <n v="971.8"/>
    <n v="976.95"/>
    <n v="977.3"/>
    <n v="977.93"/>
    <n v="1179"/>
    <n v="608.29999999999995"/>
    <n v="12755422"/>
    <n v="369601"/>
  </r>
  <r>
    <x v="129"/>
    <x v="4"/>
    <x v="6"/>
    <x v="2"/>
    <x v="1"/>
    <s v="EQ"/>
    <n v="973.5"/>
    <n v="979.2"/>
    <n v="966.05"/>
    <n v="970.85"/>
    <n v="972.3"/>
    <n v="971.8"/>
    <n v="972.23"/>
    <n v="1179"/>
    <n v="608.29999999999995"/>
    <n v="10254297"/>
    <n v="260064"/>
  </r>
  <r>
    <x v="130"/>
    <x v="0"/>
    <x v="6"/>
    <x v="2"/>
    <x v="1"/>
    <s v="EQ"/>
    <n v="967"/>
    <n v="977.5"/>
    <n v="949.2"/>
    <n v="967"/>
    <n v="971.3"/>
    <n v="970.85"/>
    <n v="968.78"/>
    <n v="1179"/>
    <n v="608.29999999999995"/>
    <n v="16764981"/>
    <n v="345069"/>
  </r>
  <r>
    <x v="131"/>
    <x v="1"/>
    <x v="6"/>
    <x v="2"/>
    <x v="1"/>
    <s v="EQ"/>
    <n v="970.4"/>
    <n v="978.95"/>
    <n v="956.35"/>
    <n v="962.05"/>
    <n v="969.95"/>
    <n v="967"/>
    <n v="966.21"/>
    <n v="1179"/>
    <n v="608.29999999999995"/>
    <n v="13466770"/>
    <n v="318723"/>
  </r>
  <r>
    <x v="132"/>
    <x v="2"/>
    <x v="6"/>
    <x v="2"/>
    <x v="1"/>
    <s v="EQ"/>
    <n v="978.2"/>
    <n v="983.7"/>
    <n v="957.15"/>
    <n v="974.95"/>
    <n v="959.2"/>
    <n v="962.05"/>
    <n v="968.76"/>
    <n v="1179"/>
    <n v="608.29999999999995"/>
    <n v="12044431"/>
    <n v="241634"/>
  </r>
  <r>
    <x v="133"/>
    <x v="3"/>
    <x v="6"/>
    <x v="2"/>
    <x v="1"/>
    <s v="EQ"/>
    <n v="995"/>
    <n v="995"/>
    <n v="960"/>
    <n v="988.4"/>
    <n v="975"/>
    <n v="974.95"/>
    <n v="969.17"/>
    <n v="1179"/>
    <n v="608.29999999999995"/>
    <n v="44516613"/>
    <n v="518729"/>
  </r>
  <r>
    <x v="134"/>
    <x v="4"/>
    <x v="6"/>
    <x v="2"/>
    <x v="1"/>
    <s v="EQ"/>
    <n v="997"/>
    <n v="999.9"/>
    <n v="984.5"/>
    <n v="992.1"/>
    <n v="988.45"/>
    <n v="988.4"/>
    <n v="990.38"/>
    <n v="1179"/>
    <n v="608.29999999999995"/>
    <n v="5836274"/>
    <n v="189546"/>
  </r>
  <r>
    <x v="135"/>
    <x v="0"/>
    <x v="6"/>
    <x v="2"/>
    <x v="1"/>
    <s v="EQ"/>
    <n v="994.9"/>
    <n v="1006"/>
    <n v="988"/>
    <n v="986.15"/>
    <n v="991.85"/>
    <n v="992.1"/>
    <n v="994.82"/>
    <n v="1179"/>
    <n v="608.29999999999995"/>
    <n v="13203676"/>
    <n v="330078"/>
  </r>
  <r>
    <x v="136"/>
    <x v="1"/>
    <x v="6"/>
    <x v="2"/>
    <x v="1"/>
    <s v="EQ"/>
    <n v="976.3"/>
    <n v="988"/>
    <n v="958"/>
    <n v="976.3"/>
    <n v="984"/>
    <n v="986.15"/>
    <n v="973.48"/>
    <n v="1179"/>
    <n v="608.29999999999995"/>
    <n v="25675836"/>
    <n v="612687"/>
  </r>
  <r>
    <x v="137"/>
    <x v="2"/>
    <x v="6"/>
    <x v="2"/>
    <x v="1"/>
    <s v="EQ"/>
    <n v="1000"/>
    <n v="1011.55"/>
    <n v="971.25"/>
    <n v="1035.8"/>
    <n v="976.4"/>
    <n v="976.3"/>
    <n v="983.79"/>
    <n v="1179"/>
    <n v="608.29999999999995"/>
    <n v="36140411"/>
    <n v="1060328"/>
  </r>
  <r>
    <x v="138"/>
    <x v="3"/>
    <x v="6"/>
    <x v="2"/>
    <x v="1"/>
    <s v="EQ"/>
    <n v="1049"/>
    <n v="1049"/>
    <n v="1032.2"/>
    <n v="1038.7"/>
    <n v="1035"/>
    <n v="1035.8"/>
    <n v="1038.72"/>
    <n v="1179"/>
    <n v="608.29999999999995"/>
    <n v="6919238"/>
    <n v="254751"/>
  </r>
  <r>
    <x v="139"/>
    <x v="4"/>
    <x v="6"/>
    <x v="2"/>
    <x v="1"/>
    <s v="EQ"/>
    <n v="1049.3499999999999"/>
    <n v="1049.95"/>
    <n v="1026.25"/>
    <n v="1049.3499999999999"/>
    <n v="1040.8"/>
    <n v="1038.7"/>
    <n v="1035.04"/>
    <n v="1179"/>
    <n v="608.29999999999995"/>
    <n v="7206054"/>
    <n v="250411"/>
  </r>
  <r>
    <x v="140"/>
    <x v="0"/>
    <x v="6"/>
    <x v="2"/>
    <x v="1"/>
    <s v="EQ"/>
    <n v="1068.8"/>
    <n v="1072.95"/>
    <n v="1040.5"/>
    <n v="1069.1500000000001"/>
    <n v="1050.6500000000001"/>
    <n v="1049.3499999999999"/>
    <n v="1051.98"/>
    <n v="1179"/>
    <n v="605.6"/>
    <n v="8717377"/>
    <n v="307427"/>
  </r>
  <r>
    <x v="141"/>
    <x v="1"/>
    <x v="6"/>
    <x v="2"/>
    <x v="1"/>
    <s v="EQ"/>
    <n v="1081"/>
    <n v="1085.8499999999999"/>
    <n v="1066.95"/>
    <n v="1080.45"/>
    <n v="1068.7"/>
    <n v="1069.1500000000001"/>
    <n v="1074.8699999999999"/>
    <n v="1179"/>
    <n v="605.6"/>
    <n v="7900593"/>
    <n v="224556"/>
  </r>
  <r>
    <x v="142"/>
    <x v="2"/>
    <x v="6"/>
    <x v="2"/>
    <x v="1"/>
    <s v="EQ"/>
    <n v="1079"/>
    <n v="1085"/>
    <n v="1072.0999999999999"/>
    <n v="1085.0999999999999"/>
    <n v="1081"/>
    <n v="1080.45"/>
    <n v="1078.18"/>
    <n v="1179"/>
    <n v="605.6"/>
    <n v="4665908"/>
    <n v="140011"/>
  </r>
  <r>
    <x v="143"/>
    <x v="3"/>
    <x v="6"/>
    <x v="2"/>
    <x v="1"/>
    <s v="EQ"/>
    <n v="1097.5999999999999"/>
    <n v="1100"/>
    <n v="1082.2"/>
    <n v="1092.6500000000001"/>
    <n v="1086.55"/>
    <n v="1085.0999999999999"/>
    <n v="1089.2"/>
    <n v="1179"/>
    <n v="605.6"/>
    <n v="5088731"/>
    <n v="164019"/>
  </r>
  <r>
    <x v="144"/>
    <x v="4"/>
    <x v="7"/>
    <x v="2"/>
    <x v="1"/>
    <s v="EQ"/>
    <n v="1105"/>
    <n v="1105"/>
    <n v="1087.3499999999999"/>
    <n v="1111.3499999999999"/>
    <n v="1093"/>
    <n v="1092.6500000000001"/>
    <n v="1094.25"/>
    <n v="1179"/>
    <n v="605.6"/>
    <n v="8116675"/>
    <n v="206392"/>
  </r>
  <r>
    <x v="145"/>
    <x v="0"/>
    <x v="7"/>
    <x v="2"/>
    <x v="1"/>
    <s v="EQ"/>
    <n v="1113.95"/>
    <n v="1115"/>
    <n v="1097.45"/>
    <n v="1121.6500000000001"/>
    <n v="1109"/>
    <n v="1111.3499999999999"/>
    <n v="1109.49"/>
    <n v="1179"/>
    <n v="599.04999999999995"/>
    <n v="17647545"/>
    <n v="276947"/>
  </r>
  <r>
    <x v="146"/>
    <x v="1"/>
    <x v="7"/>
    <x v="2"/>
    <x v="1"/>
    <s v="EQ"/>
    <n v="1079.05"/>
    <n v="1142"/>
    <n v="1066"/>
    <n v="1074.55"/>
    <n v="1112.9000000000001"/>
    <n v="1121.6500000000001"/>
    <n v="1109.08"/>
    <n v="1179"/>
    <n v="599.04999999999995"/>
    <n v="40658159"/>
    <n v="410027"/>
  </r>
  <r>
    <x v="147"/>
    <x v="2"/>
    <x v="7"/>
    <x v="2"/>
    <x v="1"/>
    <s v="EQ"/>
    <n v="1082.95"/>
    <n v="1088.7"/>
    <n v="1070.0999999999999"/>
    <n v="1077.25"/>
    <n v="1073.8"/>
    <n v="1074.55"/>
    <n v="1078.2"/>
    <n v="1179"/>
    <n v="599.04999999999995"/>
    <n v="8145376"/>
    <n v="145258"/>
  </r>
  <r>
    <x v="148"/>
    <x v="3"/>
    <x v="7"/>
    <x v="2"/>
    <x v="1"/>
    <s v="EQ"/>
    <n v="1093.05"/>
    <n v="1096.6500000000001"/>
    <n v="1075"/>
    <n v="1092.4000000000001"/>
    <n v="1079.9000000000001"/>
    <n v="1077.25"/>
    <n v="1083.48"/>
    <n v="1179"/>
    <n v="599.04999999999995"/>
    <n v="8813305"/>
    <n v="188735"/>
  </r>
  <r>
    <x v="149"/>
    <x v="4"/>
    <x v="7"/>
    <x v="2"/>
    <x v="1"/>
    <s v="EQ"/>
    <n v="1089"/>
    <n v="1103.3499999999999"/>
    <n v="1082.8499999999999"/>
    <n v="1085.1500000000001"/>
    <n v="1094.4000000000001"/>
    <n v="1092.4000000000001"/>
    <n v="1095.1500000000001"/>
    <n v="1179"/>
    <n v="599.04999999999995"/>
    <n v="9415039"/>
    <n v="206672"/>
  </r>
  <r>
    <x v="150"/>
    <x v="0"/>
    <x v="7"/>
    <x v="2"/>
    <x v="1"/>
    <s v="EQ"/>
    <n v="1073"/>
    <n v="1092.5999999999999"/>
    <n v="1071"/>
    <n v="1068.45"/>
    <n v="1085.3499999999999"/>
    <n v="1085.1500000000001"/>
    <n v="1084.19"/>
    <n v="1179"/>
    <n v="593.29999999999995"/>
    <n v="10179655"/>
    <n v="212611"/>
  </r>
  <r>
    <x v="151"/>
    <x v="1"/>
    <x v="7"/>
    <x v="2"/>
    <x v="1"/>
    <s v="EQ"/>
    <n v="1090"/>
    <n v="1094.75"/>
    <n v="1064.95"/>
    <n v="1085.2"/>
    <n v="1072"/>
    <n v="1068.45"/>
    <n v="1073.05"/>
    <n v="1179"/>
    <n v="593.29999999999995"/>
    <n v="9377476"/>
    <n v="213793"/>
  </r>
  <r>
    <x v="152"/>
    <x v="2"/>
    <x v="7"/>
    <x v="2"/>
    <x v="1"/>
    <s v="EQ"/>
    <n v="1089"/>
    <n v="1095.3"/>
    <n v="1083.3"/>
    <n v="1086.9000000000001"/>
    <n v="1086.8499999999999"/>
    <n v="1085.2"/>
    <n v="1087.29"/>
    <n v="1179"/>
    <n v="593.29999999999995"/>
    <n v="4869876"/>
    <n v="140012"/>
  </r>
  <r>
    <x v="153"/>
    <x v="3"/>
    <x v="7"/>
    <x v="2"/>
    <x v="1"/>
    <s v="EQ"/>
    <n v="1097"/>
    <n v="1098.05"/>
    <n v="1082.05"/>
    <n v="1087.7"/>
    <n v="1087"/>
    <n v="1086.9000000000001"/>
    <n v="1086.98"/>
    <n v="1179"/>
    <n v="593.29999999999995"/>
    <n v="5625723"/>
    <n v="152463"/>
  </r>
  <r>
    <x v="154"/>
    <x v="4"/>
    <x v="7"/>
    <x v="2"/>
    <x v="1"/>
    <s v="EQ"/>
    <n v="1105.9000000000001"/>
    <n v="1107"/>
    <n v="1085"/>
    <n v="1098.3499999999999"/>
    <n v="1090"/>
    <n v="1087.7"/>
    <n v="1091.3399999999999"/>
    <n v="1179"/>
    <n v="593.29999999999995"/>
    <n v="6911441"/>
    <n v="215413"/>
  </r>
  <r>
    <x v="155"/>
    <x v="0"/>
    <x v="7"/>
    <x v="2"/>
    <x v="1"/>
    <s v="EQ"/>
    <n v="1072"/>
    <n v="1099.95"/>
    <n v="1070"/>
    <n v="1062.3499999999999"/>
    <n v="1098"/>
    <n v="1098.3499999999999"/>
    <n v="1088.94"/>
    <n v="1179"/>
    <n v="593.29999999999995"/>
    <n v="11435650"/>
    <n v="359319"/>
  </r>
  <r>
    <x v="156"/>
    <x v="2"/>
    <x v="7"/>
    <x v="2"/>
    <x v="1"/>
    <s v="EQ"/>
    <n v="1057"/>
    <n v="1067.05"/>
    <n v="1047"/>
    <n v="1053.45"/>
    <n v="1062.8499999999999"/>
    <n v="1062.3499999999999"/>
    <n v="1059.22"/>
    <n v="1179"/>
    <n v="593.29999999999995"/>
    <n v="8211830"/>
    <n v="338678"/>
  </r>
  <r>
    <x v="157"/>
    <x v="3"/>
    <x v="7"/>
    <x v="2"/>
    <x v="1"/>
    <s v="EQ"/>
    <n v="1074.8499999999999"/>
    <n v="1075.5"/>
    <n v="1048.2"/>
    <n v="1076.1500000000001"/>
    <n v="1056.3499999999999"/>
    <n v="1053.45"/>
    <n v="1058.44"/>
    <n v="1179"/>
    <n v="593.29999999999995"/>
    <n v="7508231"/>
    <n v="256317"/>
  </r>
  <r>
    <x v="158"/>
    <x v="4"/>
    <x v="7"/>
    <x v="2"/>
    <x v="1"/>
    <s v="EQ"/>
    <n v="1065"/>
    <n v="1079.9000000000001"/>
    <n v="1055"/>
    <n v="1068.0999999999999"/>
    <n v="1075.4000000000001"/>
    <n v="1076.1500000000001"/>
    <n v="1074.6199999999999"/>
    <n v="1179"/>
    <n v="593.29999999999995"/>
    <n v="11311050"/>
    <n v="283848"/>
  </r>
  <r>
    <x v="159"/>
    <x v="0"/>
    <x v="7"/>
    <x v="2"/>
    <x v="1"/>
    <s v="EQ"/>
    <n v="1055"/>
    <n v="1082.95"/>
    <n v="1052.05"/>
    <n v="1041.75"/>
    <n v="1071"/>
    <n v="1068.0999999999999"/>
    <n v="1070.33"/>
    <n v="1179"/>
    <n v="593.29999999999995"/>
    <n v="15443008"/>
    <n v="403926"/>
  </r>
  <r>
    <x v="160"/>
    <x v="1"/>
    <x v="7"/>
    <x v="2"/>
    <x v="1"/>
    <s v="EQ"/>
    <n v="1034.95"/>
    <n v="1056.4000000000001"/>
    <n v="1027"/>
    <n v="1025.3"/>
    <n v="1042"/>
    <n v="1041.75"/>
    <n v="1043.95"/>
    <n v="1179"/>
    <n v="593.29999999999995"/>
    <n v="19529790"/>
    <n v="398999"/>
  </r>
  <r>
    <x v="161"/>
    <x v="2"/>
    <x v="7"/>
    <x v="2"/>
    <x v="1"/>
    <s v="EQ"/>
    <n v="1036.05"/>
    <n v="1040.2"/>
    <n v="1015.05"/>
    <n v="1013.75"/>
    <n v="1027"/>
    <n v="1025.3"/>
    <n v="1022.17"/>
    <n v="1179"/>
    <n v="593.29999999999995"/>
    <n v="9978703"/>
    <n v="270211"/>
  </r>
  <r>
    <x v="162"/>
    <x v="3"/>
    <x v="7"/>
    <x v="2"/>
    <x v="1"/>
    <s v="EQ"/>
    <n v="1030"/>
    <n v="1060.6500000000001"/>
    <n v="1008.4"/>
    <n v="1016.45"/>
    <n v="1018.55"/>
    <n v="1013.75"/>
    <n v="1032.3399999999999"/>
    <n v="1179"/>
    <n v="593.29999999999995"/>
    <n v="16726393"/>
    <n v="529099"/>
  </r>
  <r>
    <x v="163"/>
    <x v="4"/>
    <x v="7"/>
    <x v="2"/>
    <x v="1"/>
    <s v="EQ"/>
    <n v="1059.95"/>
    <n v="1065"/>
    <n v="1014.05"/>
    <n v="1096.6500000000001"/>
    <n v="1015.45"/>
    <n v="1016.45"/>
    <n v="1034.68"/>
    <n v="1179"/>
    <n v="593.29999999999995"/>
    <n v="26651144"/>
    <n v="774396"/>
  </r>
  <r>
    <x v="164"/>
    <x v="0"/>
    <x v="7"/>
    <x v="2"/>
    <x v="1"/>
    <s v="EQ"/>
    <n v="1120"/>
    <n v="1120"/>
    <n v="1090.05"/>
    <n v="1144.4000000000001"/>
    <n v="1095"/>
    <n v="1096.6500000000001"/>
    <n v="1102.3599999999999"/>
    <n v="1179"/>
    <n v="593.29999999999995"/>
    <n v="21967812"/>
    <n v="521622"/>
  </r>
  <r>
    <x v="165"/>
    <x v="1"/>
    <x v="8"/>
    <x v="2"/>
    <x v="1"/>
    <s v="EQ"/>
    <n v="1167"/>
    <n v="1176"/>
    <n v="1136.5"/>
    <n v="1156.6500000000001"/>
    <n v="1142.6500000000001"/>
    <n v="1144.4000000000001"/>
    <n v="1152.27"/>
    <n v="1179"/>
    <n v="593.29999999999995"/>
    <n v="14375948"/>
    <n v="315403"/>
  </r>
  <r>
    <x v="166"/>
    <x v="2"/>
    <x v="8"/>
    <x v="2"/>
    <x v="1"/>
    <s v="EQ"/>
    <n v="1164"/>
    <n v="1167.9000000000001"/>
    <n v="1145.3"/>
    <n v="1161.8499999999999"/>
    <n v="1159"/>
    <n v="1156.6500000000001"/>
    <n v="1155.71"/>
    <n v="1179"/>
    <n v="593.29999999999995"/>
    <n v="10860623"/>
    <n v="276733"/>
  </r>
  <r>
    <x v="167"/>
    <x v="3"/>
    <x v="8"/>
    <x v="2"/>
    <x v="1"/>
    <s v="EQ"/>
    <n v="1125.8"/>
    <n v="1179"/>
    <n v="1118.5999999999999"/>
    <n v="1124"/>
    <n v="1162"/>
    <n v="1161.8499999999999"/>
    <n v="1159.58"/>
    <n v="1179"/>
    <n v="593.29999999999995"/>
    <n v="28592304"/>
    <n v="479248"/>
  </r>
  <r>
    <x v="168"/>
    <x v="4"/>
    <x v="8"/>
    <x v="2"/>
    <x v="1"/>
    <s v="EQ"/>
    <n v="1124"/>
    <n v="1139.9000000000001"/>
    <n v="1118.5999999999999"/>
    <n v="1118.3"/>
    <n v="1124"/>
    <n v="1124"/>
    <n v="1126.98"/>
    <n v="1139.9000000000001"/>
    <n v="593.29999999999995"/>
    <n v="11850624"/>
    <n v="240071"/>
  </r>
  <r>
    <x v="169"/>
    <x v="0"/>
    <x v="8"/>
    <x v="2"/>
    <x v="1"/>
    <s v="EQ"/>
    <n v="1111.95"/>
    <n v="1120.5"/>
    <n v="1083.5999999999999"/>
    <n v="1090.95"/>
    <n v="1116.05"/>
    <n v="1118.3"/>
    <n v="1102.42"/>
    <n v="1120.5"/>
    <n v="593.29999999999995"/>
    <n v="21232845"/>
    <n v="350076"/>
  </r>
  <r>
    <x v="170"/>
    <x v="1"/>
    <x v="8"/>
    <x v="2"/>
    <x v="1"/>
    <s v="EQ"/>
    <n v="1029"/>
    <n v="1094"/>
    <n v="1024.3499999999999"/>
    <n v="1027.7"/>
    <n v="1089.05"/>
    <n v="1090.95"/>
    <n v="1072.7"/>
    <n v="1094"/>
    <n v="593.29999999999995"/>
    <n v="32766835"/>
    <n v="643962"/>
  </r>
  <r>
    <x v="171"/>
    <x v="2"/>
    <x v="8"/>
    <x v="2"/>
    <x v="1"/>
    <s v="EQ"/>
    <n v="997.8"/>
    <n v="1034.25"/>
    <n v="995.15"/>
    <n v="1001.8"/>
    <n v="1026.45"/>
    <n v="1027.7"/>
    <n v="1024.27"/>
    <n v="1065.5999999999999"/>
    <n v="593.29999999999995"/>
    <n v="11469098"/>
    <n v="253508"/>
  </r>
  <r>
    <x v="172"/>
    <x v="3"/>
    <x v="8"/>
    <x v="2"/>
    <x v="1"/>
    <s v="EQ"/>
    <n v="1007.9"/>
    <n v="1008.65"/>
    <n v="967.2"/>
    <n v="1003.15"/>
    <n v="1001"/>
    <n v="1001.8"/>
    <n v="996.08"/>
    <n v="1065.5999999999999"/>
    <n v="593.29999999999995"/>
    <n v="10384177"/>
    <n v="278738"/>
  </r>
  <r>
    <x v="173"/>
    <x v="4"/>
    <x v="8"/>
    <x v="2"/>
    <x v="1"/>
    <s v="EQ"/>
    <n v="990"/>
    <n v="1008"/>
    <n v="976.55"/>
    <n v="990"/>
    <n v="1003.9"/>
    <n v="1003.15"/>
    <n v="996.51"/>
    <n v="1065.5999999999999"/>
    <n v="593.29999999999995"/>
    <n v="7396198"/>
    <n v="184710"/>
  </r>
  <r>
    <x v="174"/>
    <x v="0"/>
    <x v="8"/>
    <x v="2"/>
    <x v="1"/>
    <s v="EQ"/>
    <n v="1024"/>
    <n v="1024"/>
    <n v="986.65"/>
    <n v="1024.55"/>
    <n v="990.8"/>
    <n v="990"/>
    <n v="1002.41"/>
    <n v="1065.5999999999999"/>
    <n v="593.29999999999995"/>
    <n v="7400178"/>
    <n v="222285"/>
  </r>
  <r>
    <x v="175"/>
    <x v="1"/>
    <x v="8"/>
    <x v="2"/>
    <x v="1"/>
    <s v="EQ"/>
    <n v="1022.95"/>
    <n v="1027"/>
    <n v="1008"/>
    <n v="1021.15"/>
    <n v="1025"/>
    <n v="1024.55"/>
    <n v="1019.04"/>
    <n v="1065.5999999999999"/>
    <n v="593.29999999999995"/>
    <n v="8010324"/>
    <n v="227199"/>
  </r>
  <r>
    <x v="176"/>
    <x v="3"/>
    <x v="8"/>
    <x v="2"/>
    <x v="1"/>
    <s v="EQ"/>
    <n v="1025.5"/>
    <n v="1029.5999999999999"/>
    <n v="1019.2"/>
    <n v="1024.45"/>
    <n v="1020"/>
    <n v="1021.15"/>
    <n v="1023.51"/>
    <n v="1065.5999999999999"/>
    <n v="593.29999999999995"/>
    <n v="4824555"/>
    <n v="112175"/>
  </r>
  <r>
    <x v="177"/>
    <x v="4"/>
    <x v="8"/>
    <x v="2"/>
    <x v="1"/>
    <s v="EQ"/>
    <n v="1021.35"/>
    <n v="1029.8"/>
    <n v="1017.3"/>
    <n v="1016.75"/>
    <n v="1024.5"/>
    <n v="1024.45"/>
    <n v="1025.55"/>
    <n v="1065.5999999999999"/>
    <n v="593.29999999999995"/>
    <n v="5847333"/>
    <n v="159747"/>
  </r>
  <r>
    <x v="178"/>
    <x v="0"/>
    <x v="8"/>
    <x v="2"/>
    <x v="1"/>
    <s v="EQ"/>
    <n v="1023.85"/>
    <n v="1025.9000000000001"/>
    <n v="1015"/>
    <n v="1020.8"/>
    <n v="1018.2"/>
    <n v="1016.75"/>
    <n v="1020.26"/>
    <n v="1065.5999999999999"/>
    <n v="593.29999999999995"/>
    <n v="7339644"/>
    <n v="177026"/>
  </r>
  <r>
    <x v="179"/>
    <x v="1"/>
    <x v="8"/>
    <x v="2"/>
    <x v="1"/>
    <s v="EQ"/>
    <n v="1008"/>
    <n v="1025.5"/>
    <n v="1007.05"/>
    <n v="1005.5"/>
    <n v="1021.2"/>
    <n v="1020.8"/>
    <n v="1020.12"/>
    <n v="1065.5999999999999"/>
    <n v="593.29999999999995"/>
    <n v="11983571"/>
    <n v="262202"/>
  </r>
  <r>
    <x v="180"/>
    <x v="2"/>
    <x v="8"/>
    <x v="2"/>
    <x v="1"/>
    <s v="EQ"/>
    <n v="1015"/>
    <n v="1019.85"/>
    <n v="986.05"/>
    <n v="1014.95"/>
    <n v="1004.3"/>
    <n v="1005.5"/>
    <n v="1006.58"/>
    <n v="1065.5999999999999"/>
    <n v="593.29999999999995"/>
    <n v="13412206"/>
    <n v="266731"/>
  </r>
  <r>
    <x v="181"/>
    <x v="3"/>
    <x v="8"/>
    <x v="2"/>
    <x v="1"/>
    <s v="EQ"/>
    <n v="1000.95"/>
    <n v="1017"/>
    <n v="998.1"/>
    <n v="1002.6"/>
    <n v="1014.15"/>
    <n v="1014.95"/>
    <n v="1010.93"/>
    <n v="1065.5999999999999"/>
    <n v="593.29999999999995"/>
    <n v="10948094"/>
    <n v="204321"/>
  </r>
  <r>
    <x v="182"/>
    <x v="4"/>
    <x v="8"/>
    <x v="2"/>
    <x v="1"/>
    <s v="EQ"/>
    <n v="1005"/>
    <n v="1016.6"/>
    <n v="996.2"/>
    <n v="993.65"/>
    <n v="1002.9"/>
    <n v="1002.6"/>
    <n v="1005.86"/>
    <n v="1065.5999999999999"/>
    <n v="593.29999999999995"/>
    <n v="13312085"/>
    <n v="258538"/>
  </r>
  <r>
    <x v="183"/>
    <x v="0"/>
    <x v="8"/>
    <x v="2"/>
    <x v="1"/>
    <s v="EQ"/>
    <n v="1005"/>
    <n v="1006.6"/>
    <n v="989.95"/>
    <n v="998.2"/>
    <n v="992.9"/>
    <n v="993.65"/>
    <n v="996.93"/>
    <n v="1065.5999999999999"/>
    <n v="584.95000000000005"/>
    <n v="9050375"/>
    <n v="207489"/>
  </r>
  <r>
    <x v="184"/>
    <x v="1"/>
    <x v="8"/>
    <x v="2"/>
    <x v="1"/>
    <s v="EQ"/>
    <n v="984"/>
    <n v="1004"/>
    <n v="979.6"/>
    <n v="975.65"/>
    <n v="1002.5"/>
    <n v="998.2"/>
    <n v="992.82"/>
    <n v="1065.5999999999999"/>
    <n v="584.95000000000005"/>
    <n v="12139832"/>
    <n v="228411"/>
  </r>
  <r>
    <x v="185"/>
    <x v="2"/>
    <x v="8"/>
    <x v="2"/>
    <x v="1"/>
    <s v="EQ"/>
    <n v="984.95"/>
    <n v="987.35"/>
    <n v="973.5"/>
    <n v="981.3"/>
    <n v="977.25"/>
    <n v="975.65"/>
    <n v="977.3"/>
    <n v="1065.5999999999999"/>
    <n v="584.95000000000005"/>
    <n v="7346258"/>
    <n v="230730"/>
  </r>
  <r>
    <x v="186"/>
    <x v="3"/>
    <x v="8"/>
    <x v="2"/>
    <x v="1"/>
    <s v="EQ"/>
    <n v="1004.05"/>
    <n v="1005"/>
    <n v="979.1"/>
    <n v="1002.05"/>
    <n v="982.5"/>
    <n v="981.3"/>
    <n v="988.36"/>
    <n v="1065.5999999999999"/>
    <n v="584.95000000000005"/>
    <n v="12284132"/>
    <n v="252422"/>
  </r>
  <r>
    <x v="187"/>
    <x v="4"/>
    <x v="9"/>
    <x v="2"/>
    <x v="1"/>
    <s v="EQ"/>
    <n v="989.75"/>
    <n v="1005.5"/>
    <n v="985.2"/>
    <n v="989.75"/>
    <n v="1000"/>
    <n v="1002.05"/>
    <n v="996.45"/>
    <n v="1065.5999999999999"/>
    <n v="584.95000000000005"/>
    <n v="14006105"/>
    <n v="247271"/>
  </r>
  <r>
    <x v="188"/>
    <x v="0"/>
    <x v="9"/>
    <x v="3"/>
    <x v="1"/>
    <s v="EQ"/>
    <n v="975"/>
    <n v="998.5"/>
    <n v="972.55"/>
    <n v="972.1"/>
    <n v="989.2"/>
    <n v="989.75"/>
    <n v="989.82"/>
    <n v="1065.5999999999999"/>
    <n v="557.79999999999995"/>
    <n v="23025267"/>
    <n v="426973"/>
  </r>
  <r>
    <x v="189"/>
    <x v="1"/>
    <x v="9"/>
    <x v="3"/>
    <x v="1"/>
    <s v="EQ"/>
    <n v="952.5"/>
    <n v="974.85"/>
    <n v="948.05"/>
    <n v="951.85"/>
    <n v="972.6"/>
    <n v="972.1"/>
    <n v="959.23"/>
    <n v="1065.5999999999999"/>
    <n v="557.79999999999995"/>
    <n v="19385412"/>
    <n v="273327"/>
  </r>
  <r>
    <x v="190"/>
    <x v="2"/>
    <x v="9"/>
    <x v="3"/>
    <x v="1"/>
    <s v="EQ"/>
    <n v="956"/>
    <n v="962.5"/>
    <n v="950.1"/>
    <n v="955"/>
    <n v="952.5"/>
    <n v="951.85"/>
    <n v="956.51"/>
    <n v="1065.5999999999999"/>
    <n v="557.79999999999995"/>
    <n v="6908988"/>
    <n v="182508"/>
  </r>
  <r>
    <x v="191"/>
    <x v="3"/>
    <x v="9"/>
    <x v="3"/>
    <x v="1"/>
    <s v="EQ"/>
    <n v="960"/>
    <n v="962.85"/>
    <n v="949.3"/>
    <n v="958.05"/>
    <n v="955.5"/>
    <n v="955"/>
    <n v="954.6"/>
    <n v="1065.5999999999999"/>
    <n v="557.79999999999995"/>
    <n v="7304128"/>
    <n v="215159"/>
  </r>
  <r>
    <x v="192"/>
    <x v="4"/>
    <x v="9"/>
    <x v="3"/>
    <x v="1"/>
    <s v="EQ"/>
    <n v="960.9"/>
    <n v="963.5"/>
    <n v="950.05"/>
    <n v="961.8"/>
    <n v="959"/>
    <n v="958.05"/>
    <n v="957.97"/>
    <n v="1065.5999999999999"/>
    <n v="557.79999999999995"/>
    <n v="6655577"/>
    <n v="182820"/>
  </r>
  <r>
    <x v="193"/>
    <x v="0"/>
    <x v="9"/>
    <x v="3"/>
    <x v="1"/>
    <s v="EQ"/>
    <n v="979"/>
    <n v="980.9"/>
    <n v="958.1"/>
    <n v="978.25"/>
    <n v="960"/>
    <n v="961.8"/>
    <n v="966.4"/>
    <n v="1065.5999999999999"/>
    <n v="557.70000000000005"/>
    <n v="14303735"/>
    <n v="386477"/>
  </r>
  <r>
    <x v="194"/>
    <x v="1"/>
    <x v="9"/>
    <x v="3"/>
    <x v="1"/>
    <s v="EQ"/>
    <n v="980"/>
    <n v="988.4"/>
    <n v="976.35"/>
    <n v="977.35"/>
    <n v="979.1"/>
    <n v="978.25"/>
    <n v="981.43"/>
    <n v="1065.5999999999999"/>
    <n v="557.70000000000005"/>
    <n v="7299571"/>
    <n v="175319"/>
  </r>
  <r>
    <x v="195"/>
    <x v="2"/>
    <x v="9"/>
    <x v="3"/>
    <x v="1"/>
    <s v="EQ"/>
    <n v="990"/>
    <n v="994.9"/>
    <n v="975.15"/>
    <n v="985.9"/>
    <n v="977.5"/>
    <n v="977.35"/>
    <n v="983.31"/>
    <n v="1065.5999999999999"/>
    <n v="557.70000000000005"/>
    <n v="7605719"/>
    <n v="182319"/>
  </r>
  <r>
    <x v="196"/>
    <x v="3"/>
    <x v="9"/>
    <x v="3"/>
    <x v="1"/>
    <s v="EQ"/>
    <n v="1000"/>
    <n v="1003.55"/>
    <n v="984"/>
    <n v="993.4"/>
    <n v="986.5"/>
    <n v="985.9"/>
    <n v="992.19"/>
    <n v="1065.5999999999999"/>
    <n v="557.70000000000005"/>
    <n v="9845075"/>
    <n v="284505"/>
  </r>
  <r>
    <x v="197"/>
    <x v="0"/>
    <x v="9"/>
    <x v="3"/>
    <x v="1"/>
    <s v="EQ"/>
    <n v="990"/>
    <n v="997.25"/>
    <n v="981.4"/>
    <n v="985.85"/>
    <n v="992"/>
    <n v="993.4"/>
    <n v="990.22"/>
    <n v="1065.5999999999999"/>
    <n v="557.70000000000005"/>
    <n v="11591421"/>
    <n v="309906"/>
  </r>
  <r>
    <x v="198"/>
    <x v="1"/>
    <x v="9"/>
    <x v="3"/>
    <x v="1"/>
    <s v="EQ"/>
    <n v="1002"/>
    <n v="1002"/>
    <n v="980.75"/>
    <n v="988.7"/>
    <n v="985.8"/>
    <n v="985.85"/>
    <n v="988.6"/>
    <n v="1065.5999999999999"/>
    <n v="557.70000000000005"/>
    <n v="12157226"/>
    <n v="295633"/>
  </r>
  <r>
    <x v="199"/>
    <x v="2"/>
    <x v="9"/>
    <x v="3"/>
    <x v="1"/>
    <s v="EQ"/>
    <n v="994.5"/>
    <n v="1010.25"/>
    <n v="987"/>
    <n v="987.1"/>
    <n v="989.2"/>
    <n v="988.7"/>
    <n v="996.34"/>
    <n v="1065.5999999999999"/>
    <n v="557.70000000000005"/>
    <n v="17527993"/>
    <n v="430324"/>
  </r>
  <r>
    <x v="200"/>
    <x v="3"/>
    <x v="9"/>
    <x v="3"/>
    <x v="1"/>
    <s v="EQ"/>
    <n v="973.8"/>
    <n v="992.55"/>
    <n v="966.65"/>
    <n v="975.15"/>
    <n v="986.15"/>
    <n v="987.1"/>
    <n v="984.93"/>
    <n v="1065.5999999999999"/>
    <n v="557.70000000000005"/>
    <n v="14828702"/>
    <n v="400232"/>
  </r>
  <r>
    <x v="201"/>
    <x v="4"/>
    <x v="9"/>
    <x v="3"/>
    <x v="1"/>
    <s v="EQ"/>
    <n v="977"/>
    <n v="984.9"/>
    <n v="969.1"/>
    <n v="970.5"/>
    <n v="974.8"/>
    <n v="975.15"/>
    <n v="976.04"/>
    <n v="1065.5999999999999"/>
    <n v="557.70000000000005"/>
    <n v="9258931"/>
    <n v="202911"/>
  </r>
  <r>
    <x v="202"/>
    <x v="0"/>
    <x v="9"/>
    <x v="3"/>
    <x v="1"/>
    <s v="EQ"/>
    <n v="940"/>
    <n v="973"/>
    <n v="935.25"/>
    <n v="938.25"/>
    <n v="970"/>
    <n v="970.5"/>
    <n v="959.91"/>
    <n v="1065.5999999999999"/>
    <n v="537.9"/>
    <n v="15577866"/>
    <n v="319681"/>
  </r>
  <r>
    <x v="203"/>
    <x v="1"/>
    <x v="9"/>
    <x v="3"/>
    <x v="1"/>
    <s v="EQ"/>
    <n v="940"/>
    <n v="946"/>
    <n v="931.2"/>
    <n v="929.95"/>
    <n v="939.5"/>
    <n v="938.25"/>
    <n v="939.29"/>
    <n v="1065.5999999999999"/>
    <n v="537.9"/>
    <n v="11792640"/>
    <n v="358066"/>
  </r>
  <r>
    <x v="204"/>
    <x v="2"/>
    <x v="9"/>
    <x v="3"/>
    <x v="1"/>
    <s v="EQ"/>
    <n v="924.95"/>
    <n v="933.75"/>
    <n v="890"/>
    <n v="903.9"/>
    <n v="928"/>
    <n v="929.95"/>
    <n v="917.55"/>
    <n v="1065.5999999999999"/>
    <n v="537.9"/>
    <n v="13752553"/>
    <n v="347081"/>
  </r>
  <r>
    <x v="205"/>
    <x v="3"/>
    <x v="9"/>
    <x v="3"/>
    <x v="1"/>
    <s v="EQ"/>
    <n v="948"/>
    <n v="948"/>
    <n v="855.4"/>
    <n v="950.45"/>
    <n v="904.95"/>
    <n v="903.9"/>
    <n v="903.72"/>
    <n v="1065.5999999999999"/>
    <n v="537.9"/>
    <n v="26554598"/>
    <n v="813215"/>
  </r>
  <r>
    <x v="206"/>
    <x v="4"/>
    <x v="10"/>
    <x v="3"/>
    <x v="1"/>
    <s v="EQ"/>
    <n v="963"/>
    <n v="963"/>
    <n v="934"/>
    <n v="923"/>
    <n v="951.5"/>
    <n v="950.45"/>
    <n v="945.99"/>
    <n v="1065.5999999999999"/>
    <n v="537.9"/>
    <n v="12314329"/>
    <n v="303950"/>
  </r>
  <r>
    <x v="207"/>
    <x v="0"/>
    <x v="10"/>
    <x v="3"/>
    <x v="1"/>
    <s v="EQ"/>
    <n v="931.65"/>
    <n v="937.25"/>
    <n v="920.1"/>
    <n v="923.95"/>
    <n v="924.5"/>
    <n v="923"/>
    <n v="926.9"/>
    <n v="1065.5999999999999"/>
    <n v="516.4"/>
    <n v="14289102"/>
    <n v="292240"/>
  </r>
  <r>
    <x v="208"/>
    <x v="1"/>
    <x v="10"/>
    <x v="3"/>
    <x v="1"/>
    <s v="EQ"/>
    <n v="943.5"/>
    <n v="951.45"/>
    <n v="921"/>
    <n v="943.6"/>
    <n v="929.35"/>
    <n v="923.95"/>
    <n v="932.76"/>
    <n v="1065.5999999999999"/>
    <n v="516.4"/>
    <n v="10170912"/>
    <n v="312135"/>
  </r>
  <r>
    <x v="209"/>
    <x v="2"/>
    <x v="10"/>
    <x v="3"/>
    <x v="1"/>
    <s v="EQ"/>
    <n v="946.95"/>
    <n v="950.5"/>
    <n v="938.8"/>
    <n v="947.55"/>
    <n v="943.5"/>
    <n v="943.6"/>
    <n v="944.04"/>
    <n v="1065.5999999999999"/>
    <n v="516.4"/>
    <n v="8184019"/>
    <n v="235178"/>
  </r>
  <r>
    <x v="210"/>
    <x v="3"/>
    <x v="10"/>
    <x v="3"/>
    <x v="1"/>
    <s v="EQ"/>
    <n v="959"/>
    <n v="961.9"/>
    <n v="946"/>
    <n v="958.5"/>
    <n v="947.45"/>
    <n v="947.55"/>
    <n v="951.76"/>
    <n v="1065.5999999999999"/>
    <n v="516.4"/>
    <n v="6618946"/>
    <n v="197988"/>
  </r>
  <r>
    <x v="211"/>
    <x v="4"/>
    <x v="10"/>
    <x v="3"/>
    <x v="1"/>
    <s v="EQ"/>
    <n v="964.9"/>
    <n v="966.45"/>
    <n v="952"/>
    <n v="960.55"/>
    <n v="959.2"/>
    <n v="958.5"/>
    <n v="960.65"/>
    <n v="1065.5999999999999"/>
    <n v="516.4"/>
    <n v="6916555"/>
    <n v="174172"/>
  </r>
  <r>
    <x v="212"/>
    <x v="0"/>
    <x v="10"/>
    <x v="3"/>
    <x v="1"/>
    <s v="EQ"/>
    <n v="962.5"/>
    <n v="970.95"/>
    <n v="958"/>
    <n v="962.35"/>
    <n v="958.9"/>
    <n v="960.55"/>
    <n v="965.97"/>
    <n v="1065.5999999999999"/>
    <n v="509.1"/>
    <n v="9590588"/>
    <n v="255338"/>
  </r>
  <r>
    <x v="213"/>
    <x v="1"/>
    <x v="10"/>
    <x v="3"/>
    <x v="1"/>
    <s v="EQ"/>
    <n v="950"/>
    <n v="963.45"/>
    <n v="945.05"/>
    <n v="947.5"/>
    <n v="962.45"/>
    <n v="962.35"/>
    <n v="955.16"/>
    <n v="1065.5999999999999"/>
    <n v="509.1"/>
    <n v="11211074"/>
    <n v="257170"/>
  </r>
  <r>
    <x v="214"/>
    <x v="2"/>
    <x v="10"/>
    <x v="3"/>
    <x v="1"/>
    <s v="EQ"/>
    <n v="952"/>
    <n v="954.9"/>
    <n v="942.55"/>
    <n v="951.3"/>
    <n v="947.95"/>
    <n v="947.5"/>
    <n v="948.59"/>
    <n v="1065.5999999999999"/>
    <n v="509.1"/>
    <n v="9495279"/>
    <n v="243237"/>
  </r>
  <r>
    <x v="215"/>
    <x v="3"/>
    <x v="10"/>
    <x v="3"/>
    <x v="1"/>
    <s v="EQ"/>
    <n v="954"/>
    <n v="956.65"/>
    <n v="948.7"/>
    <n v="953.95"/>
    <n v="950.5"/>
    <n v="951.3"/>
    <n v="952.23"/>
    <n v="1065.5999999999999"/>
    <n v="509.1"/>
    <n v="10055258"/>
    <n v="308306"/>
  </r>
  <r>
    <x v="216"/>
    <x v="5"/>
    <x v="10"/>
    <x v="3"/>
    <x v="1"/>
    <s v="EQ"/>
    <n v="950"/>
    <n v="958"/>
    <n v="947"/>
    <n v="945.7"/>
    <n v="954"/>
    <n v="953.95"/>
    <n v="951.58"/>
    <n v="1065.5999999999999"/>
    <n v="504.75"/>
    <n v="1930324"/>
    <n v="46830"/>
  </r>
  <r>
    <x v="217"/>
    <x v="0"/>
    <x v="10"/>
    <x v="3"/>
    <x v="1"/>
    <s v="EQ"/>
    <n v="944"/>
    <n v="953.4"/>
    <n v="941"/>
    <n v="936.4"/>
    <n v="944.95"/>
    <n v="945.7"/>
    <n v="946.87"/>
    <n v="1065.5999999999999"/>
    <n v="504.75"/>
    <n v="13205512"/>
    <n v="345592"/>
  </r>
  <r>
    <x v="218"/>
    <x v="1"/>
    <x v="10"/>
    <x v="3"/>
    <x v="1"/>
    <s v="EQ"/>
    <n v="953.2"/>
    <n v="954.4"/>
    <n v="919"/>
    <n v="947.3"/>
    <n v="939.2"/>
    <n v="936.4"/>
    <n v="932.31"/>
    <n v="1065.5999999999999"/>
    <n v="504.75"/>
    <n v="31240770"/>
    <n v="991302"/>
  </r>
  <r>
    <x v="219"/>
    <x v="2"/>
    <x v="10"/>
    <x v="3"/>
    <x v="1"/>
    <s v="EQ"/>
    <n v="970.95"/>
    <n v="972.95"/>
    <n v="945.1"/>
    <n v="964.65"/>
    <n v="946"/>
    <n v="947.3"/>
    <n v="955.59"/>
    <n v="1065.5999999999999"/>
    <n v="504.75"/>
    <n v="19668239"/>
    <n v="552332"/>
  </r>
  <r>
    <x v="220"/>
    <x v="3"/>
    <x v="10"/>
    <x v="3"/>
    <x v="1"/>
    <s v="EQ"/>
    <n v="965.1"/>
    <n v="968"/>
    <n v="953.25"/>
    <n v="959.75"/>
    <n v="964.75"/>
    <n v="964.65"/>
    <n v="961.48"/>
    <n v="1065.5999999999999"/>
    <n v="504.75"/>
    <n v="16325689"/>
    <n v="444401"/>
  </r>
  <r>
    <x v="221"/>
    <x v="4"/>
    <x v="10"/>
    <x v="3"/>
    <x v="1"/>
    <s v="EQ"/>
    <n v="1005"/>
    <n v="1008.7"/>
    <n v="947.2"/>
    <n v="1046.6500000000001"/>
    <n v="959.4"/>
    <n v="959.75"/>
    <n v="965.73"/>
    <n v="1065.5999999999999"/>
    <n v="504.75"/>
    <n v="58974762"/>
    <n v="1249124"/>
  </r>
  <r>
    <x v="222"/>
    <x v="0"/>
    <x v="10"/>
    <x v="3"/>
    <x v="1"/>
    <s v="EQ"/>
    <n v="1037"/>
    <n v="1050.3499999999999"/>
    <n v="1030.4000000000001"/>
    <n v="1030.3"/>
    <n v="1047"/>
    <n v="1046.6500000000001"/>
    <n v="1041.7"/>
    <n v="1065.5999999999999"/>
    <n v="478.1"/>
    <n v="13383183"/>
    <n v="272084"/>
  </r>
  <r>
    <x v="223"/>
    <x v="1"/>
    <x v="10"/>
    <x v="3"/>
    <x v="1"/>
    <s v="EQ"/>
    <n v="1011"/>
    <n v="1043.2"/>
    <n v="1007.3"/>
    <n v="1012.1"/>
    <n v="1030"/>
    <n v="1030.3"/>
    <n v="1031.3699999999999"/>
    <n v="1065.5999999999999"/>
    <n v="478.1"/>
    <n v="19189798"/>
    <n v="373117"/>
  </r>
  <r>
    <x v="224"/>
    <x v="2"/>
    <x v="10"/>
    <x v="3"/>
    <x v="1"/>
    <s v="EQ"/>
    <n v="986.95"/>
    <n v="1015"/>
    <n v="977"/>
    <n v="988.55"/>
    <n v="1013.1"/>
    <n v="1012.1"/>
    <n v="1001.59"/>
    <n v="1065.5999999999999"/>
    <n v="478.1"/>
    <n v="7519352"/>
    <n v="176945"/>
  </r>
  <r>
    <x v="225"/>
    <x v="3"/>
    <x v="10"/>
    <x v="3"/>
    <x v="1"/>
    <s v="EQ"/>
    <n v="1016.2"/>
    <n v="1017.95"/>
    <n v="982.05"/>
    <n v="1016.2"/>
    <n v="988"/>
    <n v="988.55"/>
    <n v="995.72"/>
    <n v="1065.5999999999999"/>
    <n v="478.1"/>
    <n v="8877426"/>
    <n v="268478"/>
  </r>
  <r>
    <x v="226"/>
    <x v="4"/>
    <x v="10"/>
    <x v="3"/>
    <x v="1"/>
    <s v="EQ"/>
    <n v="1015"/>
    <n v="1019.8"/>
    <n v="1005"/>
    <n v="1013.4"/>
    <n v="1015.1"/>
    <n v="1016.2"/>
    <n v="1013.3"/>
    <n v="1065.5999999999999"/>
    <n v="478.1"/>
    <n v="5724760"/>
    <n v="152486"/>
  </r>
  <r>
    <x v="227"/>
    <x v="0"/>
    <x v="10"/>
    <x v="3"/>
    <x v="1"/>
    <s v="EQ"/>
    <n v="1038"/>
    <n v="1040.2"/>
    <n v="996"/>
    <n v="1027.8"/>
    <n v="1014.5"/>
    <n v="1013.4"/>
    <n v="1017.92"/>
    <n v="1065.5999999999999"/>
    <n v="474.55"/>
    <n v="11871773"/>
    <n v="294136"/>
  </r>
  <r>
    <x v="228"/>
    <x v="1"/>
    <x v="11"/>
    <x v="3"/>
    <x v="1"/>
    <s v="EQ"/>
    <n v="1020"/>
    <n v="1030"/>
    <n v="1011.55"/>
    <n v="1007.9"/>
    <n v="1028.8"/>
    <n v="1027.8"/>
    <n v="1024.1199999999999"/>
    <n v="1065.5999999999999"/>
    <n v="474.55"/>
    <n v="12695047"/>
    <n v="325584"/>
  </r>
  <r>
    <x v="229"/>
    <x v="3"/>
    <x v="11"/>
    <x v="3"/>
    <x v="1"/>
    <s v="EQ"/>
    <n v="1005"/>
    <n v="1019.45"/>
    <n v="997.5"/>
    <n v="1000.6"/>
    <n v="1008"/>
    <n v="1007.9"/>
    <n v="1013.13"/>
    <n v="1065.5999999999999"/>
    <n v="474.55"/>
    <n v="9047011"/>
    <n v="217132"/>
  </r>
  <r>
    <x v="230"/>
    <x v="4"/>
    <x v="11"/>
    <x v="3"/>
    <x v="1"/>
    <s v="EQ"/>
    <n v="1003.05"/>
    <n v="1005.75"/>
    <n v="999"/>
    <n v="999.5"/>
    <n v="1000.05"/>
    <n v="1000.6"/>
    <n v="1001.33"/>
    <n v="1065.5999999999999"/>
    <n v="474.55"/>
    <n v="4764750"/>
    <n v="138831"/>
  </r>
  <r>
    <x v="231"/>
    <x v="0"/>
    <x v="11"/>
    <x v="3"/>
    <x v="1"/>
    <s v="EQ"/>
    <n v="1007.8"/>
    <n v="1008.95"/>
    <n v="996.6"/>
    <n v="1001.25"/>
    <n v="1000"/>
    <n v="999.5"/>
    <n v="1002.09"/>
    <n v="1065.5999999999999"/>
    <n v="468.3"/>
    <n v="7937500"/>
    <n v="207973"/>
  </r>
  <r>
    <x v="232"/>
    <x v="1"/>
    <x v="11"/>
    <x v="3"/>
    <x v="1"/>
    <s v="EQ"/>
    <n v="992.5"/>
    <n v="1003.3"/>
    <n v="989.5"/>
    <n v="991.65"/>
    <n v="1002"/>
    <n v="1001.25"/>
    <n v="996.95"/>
    <n v="1065.5999999999999"/>
    <n v="468.3"/>
    <n v="8366455"/>
    <n v="191801"/>
  </r>
  <r>
    <x v="233"/>
    <x v="2"/>
    <x v="11"/>
    <x v="3"/>
    <x v="1"/>
    <s v="EQ"/>
    <n v="992.4"/>
    <n v="995.9"/>
    <n v="988"/>
    <n v="986.75"/>
    <n v="990.8"/>
    <n v="991.65"/>
    <n v="991.57"/>
    <n v="1065.5999999999999"/>
    <n v="468.3"/>
    <n v="4671450"/>
    <n v="132021"/>
  </r>
  <r>
    <x v="234"/>
    <x v="3"/>
    <x v="11"/>
    <x v="3"/>
    <x v="1"/>
    <s v="EQ"/>
    <n v="976"/>
    <n v="994.5"/>
    <n v="974.05"/>
    <n v="973.55"/>
    <n v="987.75"/>
    <n v="986.75"/>
    <n v="985.98"/>
    <n v="1065.5999999999999"/>
    <n v="468.3"/>
    <n v="7994116"/>
    <n v="204024"/>
  </r>
  <r>
    <x v="235"/>
    <x v="4"/>
    <x v="11"/>
    <x v="3"/>
    <x v="1"/>
    <s v="EQ"/>
    <n v="978.75"/>
    <n v="978.75"/>
    <n v="966"/>
    <n v="963.2"/>
    <n v="974.7"/>
    <n v="973.55"/>
    <n v="971.86"/>
    <n v="1065.5999999999999"/>
    <n v="468.3"/>
    <n v="7187959"/>
    <n v="185545"/>
  </r>
  <r>
    <x v="236"/>
    <x v="0"/>
    <x v="11"/>
    <x v="3"/>
    <x v="1"/>
    <s v="EQ"/>
    <n v="964"/>
    <n v="967.95"/>
    <n v="944"/>
    <n v="971.35"/>
    <n v="964.4"/>
    <n v="963.2"/>
    <n v="956.12"/>
    <n v="1065.5999999999999"/>
    <n v="465.8"/>
    <n v="15381310"/>
    <n v="455804"/>
  </r>
  <r>
    <x v="237"/>
    <x v="1"/>
    <x v="11"/>
    <x v="3"/>
    <x v="1"/>
    <s v="EQ"/>
    <n v="996.35"/>
    <n v="1003.1"/>
    <n v="966.25"/>
    <n v="992.8"/>
    <n v="977.55"/>
    <n v="971.35"/>
    <n v="985.92"/>
    <n v="1065.5999999999999"/>
    <n v="465.8"/>
    <n v="13540490"/>
    <n v="386743"/>
  </r>
  <r>
    <x v="238"/>
    <x v="3"/>
    <x v="11"/>
    <x v="3"/>
    <x v="1"/>
    <s v="EQ"/>
    <n v="990"/>
    <n v="1004.9"/>
    <n v="982.1"/>
    <n v="998.8"/>
    <n v="992.2"/>
    <n v="992.8"/>
    <n v="994.95"/>
    <n v="1065.5999999999999"/>
    <n v="465.8"/>
    <n v="9574762"/>
    <n v="371266"/>
  </r>
  <r>
    <x v="239"/>
    <x v="4"/>
    <x v="11"/>
    <x v="3"/>
    <x v="1"/>
    <s v="EQ"/>
    <n v="998.1"/>
    <n v="1006.95"/>
    <n v="978.5"/>
    <n v="1018.5"/>
    <n v="997.95"/>
    <n v="998.8"/>
    <n v="996.59"/>
    <n v="1065.5999999999999"/>
    <n v="465.8"/>
    <n v="12632409"/>
    <n v="315872"/>
  </r>
  <r>
    <x v="240"/>
    <x v="0"/>
    <x v="11"/>
    <x v="3"/>
    <x v="1"/>
    <s v="EQ"/>
    <n v="1014"/>
    <n v="1029"/>
    <n v="1013.5"/>
    <n v="1013.5"/>
    <n v="1020"/>
    <n v="1018.5"/>
    <n v="1022.78"/>
    <n v="1065.5999999999999"/>
    <n v="452"/>
    <n v="11575194"/>
    <n v="269532"/>
  </r>
  <r>
    <x v="241"/>
    <x v="2"/>
    <x v="11"/>
    <x v="3"/>
    <x v="1"/>
    <s v="EQ"/>
    <n v="1012.25"/>
    <n v="1021"/>
    <n v="1010"/>
    <n v="1008.5"/>
    <n v="1014"/>
    <n v="1013.5"/>
    <n v="1013.34"/>
    <n v="1065.5999999999999"/>
    <n v="452"/>
    <n v="4554077"/>
    <n v="147535"/>
  </r>
  <r>
    <x v="242"/>
    <x v="3"/>
    <x v="11"/>
    <x v="3"/>
    <x v="1"/>
    <s v="EQ"/>
    <n v="1021"/>
    <n v="1029.5"/>
    <n v="1005"/>
    <n v="1013.2"/>
    <n v="1008"/>
    <n v="1008.5"/>
    <n v="1016.63"/>
    <n v="1065.5999999999999"/>
    <n v="452"/>
    <n v="8539041"/>
    <n v="165448"/>
  </r>
  <r>
    <x v="243"/>
    <x v="4"/>
    <x v="11"/>
    <x v="3"/>
    <x v="1"/>
    <s v="EQ"/>
    <n v="1010.05"/>
    <n v="1016.4"/>
    <n v="1004"/>
    <n v="1007.1"/>
    <n v="1012.7"/>
    <n v="1013.2"/>
    <n v="1011.67"/>
    <n v="1065.5999999999999"/>
    <n v="452"/>
    <n v="5188052"/>
    <n v="135516"/>
  </r>
  <r>
    <x v="244"/>
    <x v="0"/>
    <x v="11"/>
    <x v="3"/>
    <x v="1"/>
    <s v="EQ"/>
    <n v="1011.6"/>
    <n v="1012.5"/>
    <n v="1004.4"/>
    <n v="1011.6"/>
    <n v="1007.85"/>
    <n v="1007.1"/>
    <n v="1007.7"/>
    <n v="1065.5999999999999"/>
    <n v="419.5"/>
    <n v="4519120"/>
    <n v="125137"/>
  </r>
  <r>
    <x v="245"/>
    <x v="1"/>
    <x v="11"/>
    <x v="3"/>
    <x v="1"/>
    <s v="EQ"/>
    <n v="1016"/>
    <n v="1017"/>
    <n v="998.15"/>
    <n v="1009.15"/>
    <n v="1013"/>
    <n v="1011.6"/>
    <n v="1009.18"/>
    <n v="1065.5999999999999"/>
    <n v="419.5"/>
    <n v="9138276"/>
    <n v="222736"/>
  </r>
  <r>
    <x v="246"/>
    <x v="2"/>
    <x v="11"/>
    <x v="3"/>
    <x v="1"/>
    <s v="EQ"/>
    <n v="1004"/>
    <n v="1014.45"/>
    <n v="992.55"/>
    <n v="1004.65"/>
    <n v="1009.8"/>
    <n v="1009.15"/>
    <n v="1005.24"/>
    <n v="1065.5999999999999"/>
    <n v="419.5"/>
    <n v="8040366"/>
    <n v="178668"/>
  </r>
  <r>
    <x v="247"/>
    <x v="3"/>
    <x v="11"/>
    <x v="3"/>
    <x v="1"/>
    <s v="EQ"/>
    <n v="999"/>
    <n v="1008"/>
    <n v="993.4"/>
    <n v="992.25"/>
    <n v="1006.4"/>
    <n v="1004.65"/>
    <n v="1001.88"/>
    <n v="1065.5999999999999"/>
    <n v="419.5"/>
    <n v="7995931"/>
    <n v="140240"/>
  </r>
  <r>
    <x v="248"/>
    <x v="4"/>
    <x v="2"/>
    <x v="3"/>
    <x v="1"/>
    <s v="EQ"/>
    <n v="1000"/>
    <n v="1009.85"/>
    <n v="987.45"/>
    <n v="992.8"/>
    <n v="994"/>
    <n v="992.25"/>
    <n v="999.89"/>
    <n v="1065.5999999999999"/>
    <n v="419.5"/>
    <n v="8629407"/>
    <n v="1861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1CB925-E431-40A1-A034-FA8DA215F028}" name="PivotTable1"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7">
  <location ref="A3:B252" firstHeaderRow="1" firstDataRow="1" firstDataCol="1"/>
  <pivotFields count="17">
    <pivotField axis="axisRow" numFmtId="15" showAll="0">
      <items count="250">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items count="7">
        <item x="4"/>
        <item x="3"/>
        <item x="2"/>
        <item x="1"/>
        <item x="0"/>
        <item x="5"/>
        <item t="default"/>
      </items>
    </pivotField>
    <pivotField showAll="0">
      <items count="24">
        <item m="1" x="20"/>
        <item x="2"/>
        <item x="1"/>
        <item m="1" x="21"/>
        <item m="1" x="22"/>
        <item m="1" x="12"/>
        <item m="1" x="13"/>
        <item x="0"/>
        <item m="1" x="14"/>
        <item m="1" x="15"/>
        <item m="1" x="16"/>
        <item m="1" x="17"/>
        <item m="1" x="18"/>
        <item m="1" x="19"/>
        <item x="11"/>
        <item x="10"/>
        <item x="9"/>
        <item x="8"/>
        <item x="7"/>
        <item x="6"/>
        <item x="5"/>
        <item x="4"/>
        <item x="3"/>
        <item t="default"/>
      </items>
    </pivotField>
    <pivotField showAll="0">
      <items count="5">
        <item x="0"/>
        <item x="3"/>
        <item x="2"/>
        <item x="1"/>
        <item t="default"/>
      </items>
    </pivotField>
    <pivotField showAll="0">
      <items count="3">
        <item x="1"/>
        <item x="0"/>
        <item t="default"/>
      </items>
    </pivotField>
    <pivotField showAll="0"/>
    <pivotField numFmtId="2" showAll="0"/>
    <pivotField numFmtId="2" showAll="0"/>
    <pivotField numFmtId="2" showAll="0"/>
    <pivotField numFmtId="2" showAll="0"/>
    <pivotField numFmtId="2" showAll="0"/>
    <pivotField dataField="1" numFmtId="2" showAll="0"/>
    <pivotField numFmtId="2" showAll="0"/>
    <pivotField numFmtId="2" showAll="0"/>
    <pivotField numFmtId="2" showAll="0"/>
    <pivotField numFmtId="2" showAll="0"/>
    <pivotField numFmtId="2" showAll="0"/>
  </pivotFields>
  <rowFields count="1">
    <field x="0"/>
  </rowFields>
  <rowItems count="2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rowItems>
  <colItems count="1">
    <i/>
  </colItems>
  <dataFields count="1">
    <dataField name="Sum of close " fld="11" baseField="0" baseItem="0" numFmtId="2"/>
  </dataFields>
  <chartFormats count="5">
    <chartFormat chart="0"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30" format="7" series="1">
      <pivotArea type="data" outline="0" fieldPosition="0">
        <references count="1">
          <reference field="4294967294" count="1" selected="0">
            <x v="0"/>
          </reference>
        </references>
      </pivotArea>
    </chartFormat>
    <chartFormat chart="35" format="8" series="1">
      <pivotArea type="data" outline="0" fieldPosition="0">
        <references count="1">
          <reference field="4294967294" count="1" selected="0">
            <x v="0"/>
          </reference>
        </references>
      </pivotArea>
    </chartFormat>
    <chartFormat chart="36"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0B60298-4610-4D4D-92E0-C52D7A30F375}" name="PivotTable3"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3">
  <location ref="A3:C15" firstHeaderRow="0" firstDataRow="1" firstDataCol="1"/>
  <pivotFields count="17">
    <pivotField numFmtId="15" showAll="0"/>
    <pivotField showAll="0">
      <items count="7">
        <item x="4"/>
        <item x="3"/>
        <item x="2"/>
        <item x="1"/>
        <item x="0"/>
        <item x="5"/>
        <item t="default"/>
      </items>
    </pivotField>
    <pivotField axis="axisRow" showAll="0">
      <items count="24">
        <item m="1" x="20"/>
        <item m="1" x="21"/>
        <item m="1" x="22"/>
        <item m="1" x="12"/>
        <item x="10"/>
        <item m="1" x="13"/>
        <item m="1" x="14"/>
        <item m="1" x="15"/>
        <item m="1" x="16"/>
        <item m="1" x="17"/>
        <item m="1" x="18"/>
        <item m="1" x="19"/>
        <item x="0"/>
        <item x="1"/>
        <item x="2"/>
        <item x="3"/>
        <item x="4"/>
        <item x="5"/>
        <item x="6"/>
        <item x="7"/>
        <item x="8"/>
        <item x="9"/>
        <item x="11"/>
        <item t="default"/>
      </items>
    </pivotField>
    <pivotField showAll="0">
      <items count="5">
        <item x="0"/>
        <item x="3"/>
        <item x="2"/>
        <item x="1"/>
        <item t="default"/>
      </items>
    </pivotField>
    <pivotField showAll="0">
      <items count="3">
        <item x="1"/>
        <item x="0"/>
        <item t="default"/>
      </items>
    </pivotField>
    <pivotField showAll="0"/>
    <pivotField numFmtId="2" showAll="0"/>
    <pivotField numFmtId="2" showAll="0"/>
    <pivotField numFmtId="2" showAll="0"/>
    <pivotField numFmtId="2" showAll="0"/>
    <pivotField numFmtId="2" showAll="0"/>
    <pivotField numFmtId="2" showAll="0"/>
    <pivotField dataField="1" numFmtId="2" showAll="0"/>
    <pivotField numFmtId="2" showAll="0"/>
    <pivotField numFmtId="2" showAll="0"/>
    <pivotField dataField="1" numFmtId="2" showAll="0"/>
    <pivotField numFmtId="2" showAll="0"/>
  </pivotFields>
  <rowFields count="1">
    <field x="2"/>
  </rowFields>
  <rowItems count="12">
    <i>
      <x v="4"/>
    </i>
    <i>
      <x v="12"/>
    </i>
    <i>
      <x v="13"/>
    </i>
    <i>
      <x v="14"/>
    </i>
    <i>
      <x v="15"/>
    </i>
    <i>
      <x v="16"/>
    </i>
    <i>
      <x v="17"/>
    </i>
    <i>
      <x v="18"/>
    </i>
    <i>
      <x v="19"/>
    </i>
    <i>
      <x v="20"/>
    </i>
    <i>
      <x v="21"/>
    </i>
    <i>
      <x v="22"/>
    </i>
  </rowItems>
  <colFields count="1">
    <field x="-2"/>
  </colFields>
  <colItems count="2">
    <i>
      <x/>
    </i>
    <i i="1">
      <x v="1"/>
    </i>
  </colItems>
  <dataFields count="2">
    <dataField name="Average of vwap " fld="12" subtotal="average" baseField="2" baseItem="10" numFmtId="2"/>
    <dataField name="Sum of VOLUME " fld="15" baseField="2" baseItem="0" numFmtId="2"/>
  </dataFields>
  <chartFormats count="10">
    <chartFormat chart="3" format="3"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1"/>
          </reference>
        </references>
      </pivotArea>
    </chartFormat>
    <chartFormat chart="17" format="9" series="1">
      <pivotArea type="data" outline="0" fieldPosition="0">
        <references count="1">
          <reference field="4294967294" count="1" selected="0">
            <x v="0"/>
          </reference>
        </references>
      </pivotArea>
    </chartFormat>
    <chartFormat chart="17" format="10" series="1">
      <pivotArea type="data" outline="0" fieldPosition="0">
        <references count="1">
          <reference field="4294967294" count="1" selected="0">
            <x v="1"/>
          </reference>
        </references>
      </pivotArea>
    </chartFormat>
    <chartFormat chart="18" format="11" series="1">
      <pivotArea type="data" outline="0" fieldPosition="0">
        <references count="1">
          <reference field="4294967294" count="1" selected="0">
            <x v="0"/>
          </reference>
        </references>
      </pivotArea>
    </chartFormat>
    <chartFormat chart="18" format="12" series="1">
      <pivotArea type="data" outline="0" fieldPosition="0">
        <references count="1">
          <reference field="4294967294" count="1" selected="0">
            <x v="1"/>
          </reference>
        </references>
      </pivotArea>
    </chartFormat>
    <chartFormat chart="22" format="9" series="1">
      <pivotArea type="data" outline="0" fieldPosition="0">
        <references count="1">
          <reference field="4294967294" count="1" selected="0">
            <x v="0"/>
          </reference>
        </references>
      </pivotArea>
    </chartFormat>
    <chartFormat chart="22" format="10" series="1">
      <pivotArea type="data" outline="0" fieldPosition="0">
        <references count="1">
          <reference field="4294967294" count="1" selected="0">
            <x v="1"/>
          </reference>
        </references>
      </pivotArea>
    </chartFormat>
    <chartFormat chart="30" format="15" series="1">
      <pivotArea type="data" outline="0" fieldPosition="0">
        <references count="1">
          <reference field="4294967294" count="1" selected="0">
            <x v="0"/>
          </reference>
        </references>
      </pivotArea>
    </chartFormat>
    <chartFormat chart="30" format="1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6DCB1A6-CF6D-4F9E-9ABA-7C947A41BF7E}"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C8" firstHeaderRow="0" firstDataRow="1" firstDataCol="1"/>
  <pivotFields count="17">
    <pivotField numFmtId="15" showAll="0"/>
    <pivotField showAll="0">
      <items count="7">
        <item x="4"/>
        <item x="3"/>
        <item x="2"/>
        <item x="1"/>
        <item x="0"/>
        <item x="5"/>
        <item t="default"/>
      </items>
    </pivotField>
    <pivotField showAll="0">
      <items count="24">
        <item m="1" x="20"/>
        <item x="2"/>
        <item x="1"/>
        <item m="1" x="21"/>
        <item m="1" x="22"/>
        <item m="1" x="12"/>
        <item m="1" x="13"/>
        <item x="0"/>
        <item m="1" x="14"/>
        <item m="1" x="15"/>
        <item m="1" x="16"/>
        <item m="1" x="17"/>
        <item m="1" x="18"/>
        <item m="1" x="19"/>
        <item x="11"/>
        <item x="10"/>
        <item x="9"/>
        <item x="8"/>
        <item x="7"/>
        <item x="6"/>
        <item x="5"/>
        <item x="4"/>
        <item x="3"/>
        <item t="default"/>
      </items>
    </pivotField>
    <pivotField axis="axisRow" showAll="0">
      <items count="5">
        <item x="0"/>
        <item x="3"/>
        <item x="2"/>
        <item x="1"/>
        <item t="default"/>
      </items>
    </pivotField>
    <pivotField showAll="0">
      <items count="3">
        <item x="1"/>
        <item x="0"/>
        <item t="default"/>
      </items>
    </pivotField>
    <pivotField showAll="0"/>
    <pivotField numFmtId="2" showAll="0"/>
    <pivotField numFmtId="2" showAll="0"/>
    <pivotField numFmtId="2" showAll="0"/>
    <pivotField numFmtId="2" showAll="0"/>
    <pivotField numFmtId="2" showAll="0"/>
    <pivotField numFmtId="2" showAll="0"/>
    <pivotField numFmtId="2" showAll="0"/>
    <pivotField dataField="1" numFmtId="2" showAll="0"/>
    <pivotField dataField="1" numFmtId="2" showAll="0"/>
    <pivotField numFmtId="2" showAll="0"/>
    <pivotField numFmtId="2" showAll="0"/>
  </pivotFields>
  <rowFields count="1">
    <field x="3"/>
  </rowFields>
  <rowItems count="5">
    <i>
      <x/>
    </i>
    <i>
      <x v="1"/>
    </i>
    <i>
      <x v="2"/>
    </i>
    <i>
      <x v="3"/>
    </i>
    <i t="grand">
      <x/>
    </i>
  </rowItems>
  <colFields count="1">
    <field x="-2"/>
  </colFields>
  <colItems count="2">
    <i>
      <x/>
    </i>
    <i i="1">
      <x v="1"/>
    </i>
  </colItems>
  <dataFields count="2">
    <dataField name="Sum of 52W L " fld="14" baseField="0" baseItem="0" numFmtId="2"/>
    <dataField name="Sum of 52W H " fld="13" baseField="0" baseItem="0" numFmtId="2"/>
  </dataFields>
  <chartFormats count="28">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7"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1"/>
          </reference>
        </references>
      </pivotArea>
    </chartFormat>
    <chartFormat chart="8" format="5"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1"/>
          </reference>
        </references>
      </pivotArea>
    </chartFormat>
    <chartFormat chart="12" format="7" series="1">
      <pivotArea type="data" outline="0" fieldPosition="0">
        <references count="1">
          <reference field="4294967294" count="1" selected="0">
            <x v="0"/>
          </reference>
        </references>
      </pivotArea>
    </chartFormat>
    <chartFormat chart="12" format="8" series="1">
      <pivotArea type="data" outline="0" fieldPosition="0">
        <references count="1">
          <reference field="4294967294" count="1" selected="0">
            <x v="1"/>
          </reference>
        </references>
      </pivotArea>
    </chartFormat>
    <chartFormat chart="18" format="13" series="1">
      <pivotArea type="data" outline="0" fieldPosition="0">
        <references count="1">
          <reference field="4294967294" count="1" selected="0">
            <x v="0"/>
          </reference>
        </references>
      </pivotArea>
    </chartFormat>
    <chartFormat chart="18" format="14" series="1">
      <pivotArea type="data" outline="0" fieldPosition="0">
        <references count="1">
          <reference field="4294967294" count="1" selected="0">
            <x v="1"/>
          </reference>
        </references>
      </pivotArea>
    </chartFormat>
    <chartFormat chart="22" format="13" series="1">
      <pivotArea type="data" outline="0" fieldPosition="0">
        <references count="1">
          <reference field="4294967294" count="1" selected="0">
            <x v="0"/>
          </reference>
        </references>
      </pivotArea>
    </chartFormat>
    <chartFormat chart="22" format="14">
      <pivotArea type="data" outline="0" fieldPosition="0">
        <references count="2">
          <reference field="4294967294" count="1" selected="0">
            <x v="0"/>
          </reference>
          <reference field="3" count="1" selected="0">
            <x v="0"/>
          </reference>
        </references>
      </pivotArea>
    </chartFormat>
    <chartFormat chart="22" format="15">
      <pivotArea type="data" outline="0" fieldPosition="0">
        <references count="2">
          <reference field="4294967294" count="1" selected="0">
            <x v="0"/>
          </reference>
          <reference field="3" count="1" selected="0">
            <x v="1"/>
          </reference>
        </references>
      </pivotArea>
    </chartFormat>
    <chartFormat chart="22" format="16">
      <pivotArea type="data" outline="0" fieldPosition="0">
        <references count="2">
          <reference field="4294967294" count="1" selected="0">
            <x v="0"/>
          </reference>
          <reference field="3" count="1" selected="0">
            <x v="2"/>
          </reference>
        </references>
      </pivotArea>
    </chartFormat>
    <chartFormat chart="22" format="17">
      <pivotArea type="data" outline="0" fieldPosition="0">
        <references count="2">
          <reference field="4294967294" count="1" selected="0">
            <x v="0"/>
          </reference>
          <reference field="3" count="1" selected="0">
            <x v="3"/>
          </reference>
        </references>
      </pivotArea>
    </chartFormat>
    <chartFormat chart="22" format="18" series="1">
      <pivotArea type="data" outline="0" fieldPosition="0">
        <references count="1">
          <reference field="4294967294" count="1" selected="0">
            <x v="1"/>
          </reference>
        </references>
      </pivotArea>
    </chartFormat>
    <chartFormat chart="22" format="19">
      <pivotArea type="data" outline="0" fieldPosition="0">
        <references count="2">
          <reference field="4294967294" count="1" selected="0">
            <x v="1"/>
          </reference>
          <reference field="3" count="1" selected="0">
            <x v="0"/>
          </reference>
        </references>
      </pivotArea>
    </chartFormat>
    <chartFormat chart="22" format="20">
      <pivotArea type="data" outline="0" fieldPosition="0">
        <references count="2">
          <reference field="4294967294" count="1" selected="0">
            <x v="1"/>
          </reference>
          <reference field="3" count="1" selected="0">
            <x v="1"/>
          </reference>
        </references>
      </pivotArea>
    </chartFormat>
    <chartFormat chart="22" format="21">
      <pivotArea type="data" outline="0" fieldPosition="0">
        <references count="2">
          <reference field="4294967294" count="1" selected="0">
            <x v="1"/>
          </reference>
          <reference field="3" count="1" selected="0">
            <x v="2"/>
          </reference>
        </references>
      </pivotArea>
    </chartFormat>
    <chartFormat chart="22" format="22">
      <pivotArea type="data" outline="0" fieldPosition="0">
        <references count="2">
          <reference field="4294967294" count="1" selected="0">
            <x v="1"/>
          </reference>
          <reference field="3" count="1" selected="0">
            <x v="3"/>
          </reference>
        </references>
      </pivotArea>
    </chartFormat>
    <chartFormat chart="0" format="3">
      <pivotArea type="data" outline="0" fieldPosition="0">
        <references count="2">
          <reference field="4294967294" count="1" selected="0">
            <x v="0"/>
          </reference>
          <reference field="3" count="1" selected="0">
            <x v="0"/>
          </reference>
        </references>
      </pivotArea>
    </chartFormat>
    <chartFormat chart="0" format="4">
      <pivotArea type="data" outline="0" fieldPosition="0">
        <references count="2">
          <reference field="4294967294" count="1" selected="0">
            <x v="1"/>
          </reference>
          <reference field="3" count="1" selected="0">
            <x v="0"/>
          </reference>
        </references>
      </pivotArea>
    </chartFormat>
    <chartFormat chart="0" format="5">
      <pivotArea type="data" outline="0" fieldPosition="0">
        <references count="2">
          <reference field="4294967294" count="1" selected="0">
            <x v="0"/>
          </reference>
          <reference field="3" count="1" selected="0">
            <x v="1"/>
          </reference>
        </references>
      </pivotArea>
    </chartFormat>
    <chartFormat chart="0" format="6">
      <pivotArea type="data" outline="0" fieldPosition="0">
        <references count="2">
          <reference field="4294967294" count="1" selected="0">
            <x v="0"/>
          </reference>
          <reference field="3" count="1" selected="0">
            <x v="2"/>
          </reference>
        </references>
      </pivotArea>
    </chartFormat>
    <chartFormat chart="0" format="7">
      <pivotArea type="data" outline="0" fieldPosition="0">
        <references count="2">
          <reference field="4294967294" count="1" selected="0">
            <x v="0"/>
          </reference>
          <reference field="3" count="1" selected="0">
            <x v="3"/>
          </reference>
        </references>
      </pivotArea>
    </chartFormat>
    <chartFormat chart="0" format="8">
      <pivotArea type="data" outline="0" fieldPosition="0">
        <references count="2">
          <reference field="4294967294" count="1" selected="0">
            <x v="1"/>
          </reference>
          <reference field="3" count="1" selected="0">
            <x v="1"/>
          </reference>
        </references>
      </pivotArea>
    </chartFormat>
    <chartFormat chart="0" format="9">
      <pivotArea type="data" outline="0" fieldPosition="0">
        <references count="2">
          <reference field="4294967294" count="1" selected="0">
            <x v="1"/>
          </reference>
          <reference field="3" count="1" selected="0">
            <x v="2"/>
          </reference>
        </references>
      </pivotArea>
    </chartFormat>
    <chartFormat chart="0" format="10">
      <pivotArea type="data" outline="0" fieldPosition="0">
        <references count="2">
          <reference field="4294967294" count="1" selected="0">
            <x v="1"/>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0644CFE-0C4C-4819-B0BE-8C68419C159F}" name="PivotTable1" cacheId="1"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chartFormat="41">
  <location ref="A3:B15" firstHeaderRow="1" firstDataRow="1" firstDataCol="1"/>
  <pivotFields count="17">
    <pivotField numFmtId="15" showAll="0"/>
    <pivotField showAll="0">
      <items count="7">
        <item x="4"/>
        <item x="3"/>
        <item x="2"/>
        <item x="1"/>
        <item x="0"/>
        <item x="5"/>
        <item t="default"/>
      </items>
    </pivotField>
    <pivotField axis="axisRow" showAll="0">
      <items count="24">
        <item m="1" x="20"/>
        <item m="1" x="21"/>
        <item m="1" x="22"/>
        <item m="1" x="12"/>
        <item x="10"/>
        <item m="1" x="13"/>
        <item m="1" x="14"/>
        <item m="1" x="15"/>
        <item m="1" x="16"/>
        <item m="1" x="17"/>
        <item m="1" x="18"/>
        <item m="1" x="19"/>
        <item x="0"/>
        <item x="1"/>
        <item x="2"/>
        <item x="3"/>
        <item x="4"/>
        <item x="5"/>
        <item x="6"/>
        <item x="7"/>
        <item x="8"/>
        <item x="9"/>
        <item x="11"/>
        <item t="default"/>
      </items>
    </pivotField>
    <pivotField showAll="0">
      <items count="5">
        <item x="0"/>
        <item x="3"/>
        <item x="2"/>
        <item x="1"/>
        <item t="default"/>
      </items>
    </pivotField>
    <pivotField showAll="0">
      <items count="3">
        <item x="1"/>
        <item x="0"/>
        <item t="default"/>
      </items>
    </pivotField>
    <pivotField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dataField="1" numFmtId="2" showAll="0"/>
    <pivotField numFmtId="2" showAll="0"/>
  </pivotFields>
  <rowFields count="1">
    <field x="2"/>
  </rowFields>
  <rowItems count="12">
    <i>
      <x v="4"/>
    </i>
    <i>
      <x v="12"/>
    </i>
    <i>
      <x v="13"/>
    </i>
    <i>
      <x v="14"/>
    </i>
    <i>
      <x v="15"/>
    </i>
    <i>
      <x v="16"/>
    </i>
    <i>
      <x v="17"/>
    </i>
    <i>
      <x v="18"/>
    </i>
    <i>
      <x v="19"/>
    </i>
    <i>
      <x v="20"/>
    </i>
    <i>
      <x v="21"/>
    </i>
    <i>
      <x v="22"/>
    </i>
  </rowItems>
  <colItems count="1">
    <i/>
  </colItems>
  <dataFields count="1">
    <dataField name="Sum of VOLUME " fld="15" baseField="0" baseItem="0" numFmtId="2"/>
  </dataFields>
  <chartFormats count="10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2" count="1" selected="0">
            <x v="0"/>
          </reference>
        </references>
      </pivotArea>
    </chartFormat>
    <chartFormat chart="1" format="3">
      <pivotArea type="data" outline="0" fieldPosition="0">
        <references count="2">
          <reference field="4294967294" count="1" selected="0">
            <x v="0"/>
          </reference>
          <reference field="2" count="1" selected="0">
            <x v="1"/>
          </reference>
        </references>
      </pivotArea>
    </chartFormat>
    <chartFormat chart="1" format="4">
      <pivotArea type="data" outline="0" fieldPosition="0">
        <references count="2">
          <reference field="4294967294" count="1" selected="0">
            <x v="0"/>
          </reference>
          <reference field="2" count="1" selected="0">
            <x v="2"/>
          </reference>
        </references>
      </pivotArea>
    </chartFormat>
    <chartFormat chart="1" format="5">
      <pivotArea type="data" outline="0" fieldPosition="0">
        <references count="2">
          <reference field="4294967294" count="1" selected="0">
            <x v="0"/>
          </reference>
          <reference field="2" count="1" selected="0">
            <x v="3"/>
          </reference>
        </references>
      </pivotArea>
    </chartFormat>
    <chartFormat chart="1" format="6">
      <pivotArea type="data" outline="0" fieldPosition="0">
        <references count="2">
          <reference field="4294967294" count="1" selected="0">
            <x v="0"/>
          </reference>
          <reference field="2" count="1" selected="0">
            <x v="4"/>
          </reference>
        </references>
      </pivotArea>
    </chartFormat>
    <chartFormat chart="1" format="7">
      <pivotArea type="data" outline="0" fieldPosition="0">
        <references count="2">
          <reference field="4294967294" count="1" selected="0">
            <x v="0"/>
          </reference>
          <reference field="2" count="1" selected="0">
            <x v="5"/>
          </reference>
        </references>
      </pivotArea>
    </chartFormat>
    <chartFormat chart="1" format="8">
      <pivotArea type="data" outline="0" fieldPosition="0">
        <references count="2">
          <reference field="4294967294" count="1" selected="0">
            <x v="0"/>
          </reference>
          <reference field="2" count="1" selected="0">
            <x v="6"/>
          </reference>
        </references>
      </pivotArea>
    </chartFormat>
    <chartFormat chart="1" format="9">
      <pivotArea type="data" outline="0" fieldPosition="0">
        <references count="2">
          <reference field="4294967294" count="1" selected="0">
            <x v="0"/>
          </reference>
          <reference field="2" count="1" selected="0">
            <x v="7"/>
          </reference>
        </references>
      </pivotArea>
    </chartFormat>
    <chartFormat chart="1" format="10">
      <pivotArea type="data" outline="0" fieldPosition="0">
        <references count="2">
          <reference field="4294967294" count="1" selected="0">
            <x v="0"/>
          </reference>
          <reference field="2" count="1" selected="0">
            <x v="8"/>
          </reference>
        </references>
      </pivotArea>
    </chartFormat>
    <chartFormat chart="1" format="11">
      <pivotArea type="data" outline="0" fieldPosition="0">
        <references count="2">
          <reference field="4294967294" count="1" selected="0">
            <x v="0"/>
          </reference>
          <reference field="2" count="1" selected="0">
            <x v="9"/>
          </reference>
        </references>
      </pivotArea>
    </chartFormat>
    <chartFormat chart="1" format="12">
      <pivotArea type="data" outline="0" fieldPosition="0">
        <references count="2">
          <reference field="4294967294" count="1" selected="0">
            <x v="0"/>
          </reference>
          <reference field="2" count="1" selected="0">
            <x v="10"/>
          </reference>
        </references>
      </pivotArea>
    </chartFormat>
    <chartFormat chart="1" format="13">
      <pivotArea type="data" outline="0" fieldPosition="0">
        <references count="2">
          <reference field="4294967294" count="1" selected="0">
            <x v="0"/>
          </reference>
          <reference field="2" count="1" selected="0">
            <x v="11"/>
          </reference>
        </references>
      </pivotArea>
    </chartFormat>
    <chartFormat chart="2" format="14" series="1">
      <pivotArea type="data" outline="0" fieldPosition="0">
        <references count="1">
          <reference field="4294967294" count="1" selected="0">
            <x v="0"/>
          </reference>
        </references>
      </pivotArea>
    </chartFormat>
    <chartFormat chart="2" format="15">
      <pivotArea type="data" outline="0" fieldPosition="0">
        <references count="2">
          <reference field="4294967294" count="1" selected="0">
            <x v="0"/>
          </reference>
          <reference field="2" count="1" selected="0">
            <x v="0"/>
          </reference>
        </references>
      </pivotArea>
    </chartFormat>
    <chartFormat chart="2" format="16">
      <pivotArea type="data" outline="0" fieldPosition="0">
        <references count="2">
          <reference field="4294967294" count="1" selected="0">
            <x v="0"/>
          </reference>
          <reference field="2" count="1" selected="0">
            <x v="1"/>
          </reference>
        </references>
      </pivotArea>
    </chartFormat>
    <chartFormat chart="2" format="17">
      <pivotArea type="data" outline="0" fieldPosition="0">
        <references count="2">
          <reference field="4294967294" count="1" selected="0">
            <x v="0"/>
          </reference>
          <reference field="2" count="1" selected="0">
            <x v="2"/>
          </reference>
        </references>
      </pivotArea>
    </chartFormat>
    <chartFormat chart="2" format="18">
      <pivotArea type="data" outline="0" fieldPosition="0">
        <references count="2">
          <reference field="4294967294" count="1" selected="0">
            <x v="0"/>
          </reference>
          <reference field="2" count="1" selected="0">
            <x v="3"/>
          </reference>
        </references>
      </pivotArea>
    </chartFormat>
    <chartFormat chart="2" format="19">
      <pivotArea type="data" outline="0" fieldPosition="0">
        <references count="2">
          <reference field="4294967294" count="1" selected="0">
            <x v="0"/>
          </reference>
          <reference field="2" count="1" selected="0">
            <x v="4"/>
          </reference>
        </references>
      </pivotArea>
    </chartFormat>
    <chartFormat chart="2" format="20">
      <pivotArea type="data" outline="0" fieldPosition="0">
        <references count="2">
          <reference field="4294967294" count="1" selected="0">
            <x v="0"/>
          </reference>
          <reference field="2" count="1" selected="0">
            <x v="5"/>
          </reference>
        </references>
      </pivotArea>
    </chartFormat>
    <chartFormat chart="2" format="21">
      <pivotArea type="data" outline="0" fieldPosition="0">
        <references count="2">
          <reference field="4294967294" count="1" selected="0">
            <x v="0"/>
          </reference>
          <reference field="2" count="1" selected="0">
            <x v="6"/>
          </reference>
        </references>
      </pivotArea>
    </chartFormat>
    <chartFormat chart="2" format="22">
      <pivotArea type="data" outline="0" fieldPosition="0">
        <references count="2">
          <reference field="4294967294" count="1" selected="0">
            <x v="0"/>
          </reference>
          <reference field="2" count="1" selected="0">
            <x v="7"/>
          </reference>
        </references>
      </pivotArea>
    </chartFormat>
    <chartFormat chart="2" format="23">
      <pivotArea type="data" outline="0" fieldPosition="0">
        <references count="2">
          <reference field="4294967294" count="1" selected="0">
            <x v="0"/>
          </reference>
          <reference field="2" count="1" selected="0">
            <x v="8"/>
          </reference>
        </references>
      </pivotArea>
    </chartFormat>
    <chartFormat chart="2" format="24">
      <pivotArea type="data" outline="0" fieldPosition="0">
        <references count="2">
          <reference field="4294967294" count="1" selected="0">
            <x v="0"/>
          </reference>
          <reference field="2" count="1" selected="0">
            <x v="9"/>
          </reference>
        </references>
      </pivotArea>
    </chartFormat>
    <chartFormat chart="2" format="25">
      <pivotArea type="data" outline="0" fieldPosition="0">
        <references count="2">
          <reference field="4294967294" count="1" selected="0">
            <x v="0"/>
          </reference>
          <reference field="2" count="1" selected="0">
            <x v="10"/>
          </reference>
        </references>
      </pivotArea>
    </chartFormat>
    <chartFormat chart="2" format="26">
      <pivotArea type="data" outline="0" fieldPosition="0">
        <references count="2">
          <reference field="4294967294" count="1" selected="0">
            <x v="0"/>
          </reference>
          <reference field="2" count="1" selected="0">
            <x v="11"/>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 chart="0" format="6">
      <pivotArea type="data" outline="0" fieldPosition="0">
        <references count="2">
          <reference field="4294967294" count="1" selected="0">
            <x v="0"/>
          </reference>
          <reference field="2" count="1" selected="0">
            <x v="5"/>
          </reference>
        </references>
      </pivotArea>
    </chartFormat>
    <chartFormat chart="0" format="7">
      <pivotArea type="data" outline="0" fieldPosition="0">
        <references count="2">
          <reference field="4294967294" count="1" selected="0">
            <x v="0"/>
          </reference>
          <reference field="2" count="1" selected="0">
            <x v="6"/>
          </reference>
        </references>
      </pivotArea>
    </chartFormat>
    <chartFormat chart="0" format="8">
      <pivotArea type="data" outline="0" fieldPosition="0">
        <references count="2">
          <reference field="4294967294" count="1" selected="0">
            <x v="0"/>
          </reference>
          <reference field="2" count="1" selected="0">
            <x v="7"/>
          </reference>
        </references>
      </pivotArea>
    </chartFormat>
    <chartFormat chart="0" format="9">
      <pivotArea type="data" outline="0" fieldPosition="0">
        <references count="2">
          <reference field="4294967294" count="1" selected="0">
            <x v="0"/>
          </reference>
          <reference field="2" count="1" selected="0">
            <x v="8"/>
          </reference>
        </references>
      </pivotArea>
    </chartFormat>
    <chartFormat chart="0" format="10">
      <pivotArea type="data" outline="0" fieldPosition="0">
        <references count="2">
          <reference field="4294967294" count="1" selected="0">
            <x v="0"/>
          </reference>
          <reference field="2" count="1" selected="0">
            <x v="9"/>
          </reference>
        </references>
      </pivotArea>
    </chartFormat>
    <chartFormat chart="0" format="11">
      <pivotArea type="data" outline="0" fieldPosition="0">
        <references count="2">
          <reference field="4294967294" count="1" selected="0">
            <x v="0"/>
          </reference>
          <reference field="2" count="1" selected="0">
            <x v="10"/>
          </reference>
        </references>
      </pivotArea>
    </chartFormat>
    <chartFormat chart="0" format="12">
      <pivotArea type="data" outline="0" fieldPosition="0">
        <references count="2">
          <reference field="4294967294" count="1" selected="0">
            <x v="0"/>
          </reference>
          <reference field="2" count="1" selected="0">
            <x v="11"/>
          </reference>
        </references>
      </pivotArea>
    </chartFormat>
    <chartFormat chart="10" format="13" series="1">
      <pivotArea type="data" outline="0" fieldPosition="0">
        <references count="1">
          <reference field="4294967294" count="1" selected="0">
            <x v="0"/>
          </reference>
        </references>
      </pivotArea>
    </chartFormat>
    <chartFormat chart="10" format="14">
      <pivotArea type="data" outline="0" fieldPosition="0">
        <references count="2">
          <reference field="4294967294" count="1" selected="0">
            <x v="0"/>
          </reference>
          <reference field="2" count="1" selected="0">
            <x v="0"/>
          </reference>
        </references>
      </pivotArea>
    </chartFormat>
    <chartFormat chart="10" format="15">
      <pivotArea type="data" outline="0" fieldPosition="0">
        <references count="2">
          <reference field="4294967294" count="1" selected="0">
            <x v="0"/>
          </reference>
          <reference field="2" count="1" selected="0">
            <x v="1"/>
          </reference>
        </references>
      </pivotArea>
    </chartFormat>
    <chartFormat chart="10" format="16">
      <pivotArea type="data" outline="0" fieldPosition="0">
        <references count="2">
          <reference field="4294967294" count="1" selected="0">
            <x v="0"/>
          </reference>
          <reference field="2" count="1" selected="0">
            <x v="2"/>
          </reference>
        </references>
      </pivotArea>
    </chartFormat>
    <chartFormat chart="10" format="17">
      <pivotArea type="data" outline="0" fieldPosition="0">
        <references count="2">
          <reference field="4294967294" count="1" selected="0">
            <x v="0"/>
          </reference>
          <reference field="2" count="1" selected="0">
            <x v="3"/>
          </reference>
        </references>
      </pivotArea>
    </chartFormat>
    <chartFormat chart="10" format="18">
      <pivotArea type="data" outline="0" fieldPosition="0">
        <references count="2">
          <reference field="4294967294" count="1" selected="0">
            <x v="0"/>
          </reference>
          <reference field="2" count="1" selected="0">
            <x v="4"/>
          </reference>
        </references>
      </pivotArea>
    </chartFormat>
    <chartFormat chart="10" format="19">
      <pivotArea type="data" outline="0" fieldPosition="0">
        <references count="2">
          <reference field="4294967294" count="1" selected="0">
            <x v="0"/>
          </reference>
          <reference field="2" count="1" selected="0">
            <x v="5"/>
          </reference>
        </references>
      </pivotArea>
    </chartFormat>
    <chartFormat chart="10" format="20">
      <pivotArea type="data" outline="0" fieldPosition="0">
        <references count="2">
          <reference field="4294967294" count="1" selected="0">
            <x v="0"/>
          </reference>
          <reference field="2" count="1" selected="0">
            <x v="6"/>
          </reference>
        </references>
      </pivotArea>
    </chartFormat>
    <chartFormat chart="10" format="21">
      <pivotArea type="data" outline="0" fieldPosition="0">
        <references count="2">
          <reference field="4294967294" count="1" selected="0">
            <x v="0"/>
          </reference>
          <reference field="2" count="1" selected="0">
            <x v="7"/>
          </reference>
        </references>
      </pivotArea>
    </chartFormat>
    <chartFormat chart="10" format="22">
      <pivotArea type="data" outline="0" fieldPosition="0">
        <references count="2">
          <reference field="4294967294" count="1" selected="0">
            <x v="0"/>
          </reference>
          <reference field="2" count="1" selected="0">
            <x v="8"/>
          </reference>
        </references>
      </pivotArea>
    </chartFormat>
    <chartFormat chart="10" format="23">
      <pivotArea type="data" outline="0" fieldPosition="0">
        <references count="2">
          <reference field="4294967294" count="1" selected="0">
            <x v="0"/>
          </reference>
          <reference field="2" count="1" selected="0">
            <x v="9"/>
          </reference>
        </references>
      </pivotArea>
    </chartFormat>
    <chartFormat chart="10" format="24">
      <pivotArea type="data" outline="0" fieldPosition="0">
        <references count="2">
          <reference field="4294967294" count="1" selected="0">
            <x v="0"/>
          </reference>
          <reference field="2" count="1" selected="0">
            <x v="10"/>
          </reference>
        </references>
      </pivotArea>
    </chartFormat>
    <chartFormat chart="10" format="25">
      <pivotArea type="data" outline="0" fieldPosition="0">
        <references count="2">
          <reference field="4294967294" count="1" selected="0">
            <x v="0"/>
          </reference>
          <reference field="2" count="1" selected="0">
            <x v="11"/>
          </reference>
        </references>
      </pivotArea>
    </chartFormat>
    <chartFormat chart="12" format="13" series="1">
      <pivotArea type="data" outline="0" fieldPosition="0">
        <references count="1">
          <reference field="4294967294" count="1" selected="0">
            <x v="0"/>
          </reference>
        </references>
      </pivotArea>
    </chartFormat>
    <chartFormat chart="12" format="14">
      <pivotArea type="data" outline="0" fieldPosition="0">
        <references count="2">
          <reference field="4294967294" count="1" selected="0">
            <x v="0"/>
          </reference>
          <reference field="2" count="1" selected="0">
            <x v="0"/>
          </reference>
        </references>
      </pivotArea>
    </chartFormat>
    <chartFormat chart="12" format="15">
      <pivotArea type="data" outline="0" fieldPosition="0">
        <references count="2">
          <reference field="4294967294" count="1" selected="0">
            <x v="0"/>
          </reference>
          <reference field="2" count="1" selected="0">
            <x v="1"/>
          </reference>
        </references>
      </pivotArea>
    </chartFormat>
    <chartFormat chart="12" format="16">
      <pivotArea type="data" outline="0" fieldPosition="0">
        <references count="2">
          <reference field="4294967294" count="1" selected="0">
            <x v="0"/>
          </reference>
          <reference field="2" count="1" selected="0">
            <x v="2"/>
          </reference>
        </references>
      </pivotArea>
    </chartFormat>
    <chartFormat chart="12" format="17">
      <pivotArea type="data" outline="0" fieldPosition="0">
        <references count="2">
          <reference field="4294967294" count="1" selected="0">
            <x v="0"/>
          </reference>
          <reference field="2" count="1" selected="0">
            <x v="3"/>
          </reference>
        </references>
      </pivotArea>
    </chartFormat>
    <chartFormat chart="12" format="18">
      <pivotArea type="data" outline="0" fieldPosition="0">
        <references count="2">
          <reference field="4294967294" count="1" selected="0">
            <x v="0"/>
          </reference>
          <reference field="2" count="1" selected="0">
            <x v="4"/>
          </reference>
        </references>
      </pivotArea>
    </chartFormat>
    <chartFormat chart="12" format="19">
      <pivotArea type="data" outline="0" fieldPosition="0">
        <references count="2">
          <reference field="4294967294" count="1" selected="0">
            <x v="0"/>
          </reference>
          <reference field="2" count="1" selected="0">
            <x v="5"/>
          </reference>
        </references>
      </pivotArea>
    </chartFormat>
    <chartFormat chart="12" format="20">
      <pivotArea type="data" outline="0" fieldPosition="0">
        <references count="2">
          <reference field="4294967294" count="1" selected="0">
            <x v="0"/>
          </reference>
          <reference field="2" count="1" selected="0">
            <x v="6"/>
          </reference>
        </references>
      </pivotArea>
    </chartFormat>
    <chartFormat chart="12" format="21">
      <pivotArea type="data" outline="0" fieldPosition="0">
        <references count="2">
          <reference field="4294967294" count="1" selected="0">
            <x v="0"/>
          </reference>
          <reference field="2" count="1" selected="0">
            <x v="7"/>
          </reference>
        </references>
      </pivotArea>
    </chartFormat>
    <chartFormat chart="12" format="22">
      <pivotArea type="data" outline="0" fieldPosition="0">
        <references count="2">
          <reference field="4294967294" count="1" selected="0">
            <x v="0"/>
          </reference>
          <reference field="2" count="1" selected="0">
            <x v="8"/>
          </reference>
        </references>
      </pivotArea>
    </chartFormat>
    <chartFormat chart="12" format="23">
      <pivotArea type="data" outline="0" fieldPosition="0">
        <references count="2">
          <reference field="4294967294" count="1" selected="0">
            <x v="0"/>
          </reference>
          <reference field="2" count="1" selected="0">
            <x v="9"/>
          </reference>
        </references>
      </pivotArea>
    </chartFormat>
    <chartFormat chart="12" format="24">
      <pivotArea type="data" outline="0" fieldPosition="0">
        <references count="2">
          <reference field="4294967294" count="1" selected="0">
            <x v="0"/>
          </reference>
          <reference field="2" count="1" selected="0">
            <x v="10"/>
          </reference>
        </references>
      </pivotArea>
    </chartFormat>
    <chartFormat chart="12" format="25">
      <pivotArea type="data" outline="0" fieldPosition="0">
        <references count="2">
          <reference field="4294967294" count="1" selected="0">
            <x v="0"/>
          </reference>
          <reference field="2" count="1" selected="0">
            <x v="11"/>
          </reference>
        </references>
      </pivotArea>
    </chartFormat>
    <chartFormat chart="18" format="26" series="1">
      <pivotArea type="data" outline="0" fieldPosition="0">
        <references count="1">
          <reference field="4294967294" count="1" selected="0">
            <x v="0"/>
          </reference>
        </references>
      </pivotArea>
    </chartFormat>
    <chartFormat chart="18" format="27">
      <pivotArea type="data" outline="0" fieldPosition="0">
        <references count="2">
          <reference field="4294967294" count="1" selected="0">
            <x v="0"/>
          </reference>
          <reference field="2" count="1" selected="0">
            <x v="0"/>
          </reference>
        </references>
      </pivotArea>
    </chartFormat>
    <chartFormat chart="18" format="28">
      <pivotArea type="data" outline="0" fieldPosition="0">
        <references count="2">
          <reference field="4294967294" count="1" selected="0">
            <x v="0"/>
          </reference>
          <reference field="2" count="1" selected="0">
            <x v="1"/>
          </reference>
        </references>
      </pivotArea>
    </chartFormat>
    <chartFormat chart="18" format="29">
      <pivotArea type="data" outline="0" fieldPosition="0">
        <references count="2">
          <reference field="4294967294" count="1" selected="0">
            <x v="0"/>
          </reference>
          <reference field="2" count="1" selected="0">
            <x v="2"/>
          </reference>
        </references>
      </pivotArea>
    </chartFormat>
    <chartFormat chart="18" format="30">
      <pivotArea type="data" outline="0" fieldPosition="0">
        <references count="2">
          <reference field="4294967294" count="1" selected="0">
            <x v="0"/>
          </reference>
          <reference field="2" count="1" selected="0">
            <x v="3"/>
          </reference>
        </references>
      </pivotArea>
    </chartFormat>
    <chartFormat chart="18" format="31">
      <pivotArea type="data" outline="0" fieldPosition="0">
        <references count="2">
          <reference field="4294967294" count="1" selected="0">
            <x v="0"/>
          </reference>
          <reference field="2" count="1" selected="0">
            <x v="4"/>
          </reference>
        </references>
      </pivotArea>
    </chartFormat>
    <chartFormat chart="18" format="32">
      <pivotArea type="data" outline="0" fieldPosition="0">
        <references count="2">
          <reference field="4294967294" count="1" selected="0">
            <x v="0"/>
          </reference>
          <reference field="2" count="1" selected="0">
            <x v="5"/>
          </reference>
        </references>
      </pivotArea>
    </chartFormat>
    <chartFormat chart="18" format="33">
      <pivotArea type="data" outline="0" fieldPosition="0">
        <references count="2">
          <reference field="4294967294" count="1" selected="0">
            <x v="0"/>
          </reference>
          <reference field="2" count="1" selected="0">
            <x v="6"/>
          </reference>
        </references>
      </pivotArea>
    </chartFormat>
    <chartFormat chart="18" format="34">
      <pivotArea type="data" outline="0" fieldPosition="0">
        <references count="2">
          <reference field="4294967294" count="1" selected="0">
            <x v="0"/>
          </reference>
          <reference field="2" count="1" selected="0">
            <x v="7"/>
          </reference>
        </references>
      </pivotArea>
    </chartFormat>
    <chartFormat chart="18" format="35">
      <pivotArea type="data" outline="0" fieldPosition="0">
        <references count="2">
          <reference field="4294967294" count="1" selected="0">
            <x v="0"/>
          </reference>
          <reference field="2" count="1" selected="0">
            <x v="8"/>
          </reference>
        </references>
      </pivotArea>
    </chartFormat>
    <chartFormat chart="18" format="36">
      <pivotArea type="data" outline="0" fieldPosition="0">
        <references count="2">
          <reference field="4294967294" count="1" selected="0">
            <x v="0"/>
          </reference>
          <reference field="2" count="1" selected="0">
            <x v="9"/>
          </reference>
        </references>
      </pivotArea>
    </chartFormat>
    <chartFormat chart="18" format="37">
      <pivotArea type="data" outline="0" fieldPosition="0">
        <references count="2">
          <reference field="4294967294" count="1" selected="0">
            <x v="0"/>
          </reference>
          <reference field="2" count="1" selected="0">
            <x v="10"/>
          </reference>
        </references>
      </pivotArea>
    </chartFormat>
    <chartFormat chart="18" format="38">
      <pivotArea type="data" outline="0" fieldPosition="0">
        <references count="2">
          <reference field="4294967294" count="1" selected="0">
            <x v="0"/>
          </reference>
          <reference field="2" count="1" selected="0">
            <x v="11"/>
          </reference>
        </references>
      </pivotArea>
    </chartFormat>
    <chartFormat chart="36" format="78" series="1">
      <pivotArea type="data" outline="0" fieldPosition="0">
        <references count="1">
          <reference field="4294967294" count="1" selected="0">
            <x v="0"/>
          </reference>
        </references>
      </pivotArea>
    </chartFormat>
    <chartFormat chart="36" format="79">
      <pivotArea type="data" outline="0" fieldPosition="0">
        <references count="2">
          <reference field="4294967294" count="1" selected="0">
            <x v="0"/>
          </reference>
          <reference field="2" count="1" selected="0">
            <x v="0"/>
          </reference>
        </references>
      </pivotArea>
    </chartFormat>
    <chartFormat chart="36" format="80">
      <pivotArea type="data" outline="0" fieldPosition="0">
        <references count="2">
          <reference field="4294967294" count="1" selected="0">
            <x v="0"/>
          </reference>
          <reference field="2" count="1" selected="0">
            <x v="1"/>
          </reference>
        </references>
      </pivotArea>
    </chartFormat>
    <chartFormat chart="36" format="81">
      <pivotArea type="data" outline="0" fieldPosition="0">
        <references count="2">
          <reference field="4294967294" count="1" selected="0">
            <x v="0"/>
          </reference>
          <reference field="2" count="1" selected="0">
            <x v="2"/>
          </reference>
        </references>
      </pivotArea>
    </chartFormat>
    <chartFormat chart="36" format="82">
      <pivotArea type="data" outline="0" fieldPosition="0">
        <references count="2">
          <reference field="4294967294" count="1" selected="0">
            <x v="0"/>
          </reference>
          <reference field="2" count="1" selected="0">
            <x v="3"/>
          </reference>
        </references>
      </pivotArea>
    </chartFormat>
    <chartFormat chart="36" format="83">
      <pivotArea type="data" outline="0" fieldPosition="0">
        <references count="2">
          <reference field="4294967294" count="1" selected="0">
            <x v="0"/>
          </reference>
          <reference field="2" count="1" selected="0">
            <x v="4"/>
          </reference>
        </references>
      </pivotArea>
    </chartFormat>
    <chartFormat chart="36" format="84">
      <pivotArea type="data" outline="0" fieldPosition="0">
        <references count="2">
          <reference field="4294967294" count="1" selected="0">
            <x v="0"/>
          </reference>
          <reference field="2" count="1" selected="0">
            <x v="5"/>
          </reference>
        </references>
      </pivotArea>
    </chartFormat>
    <chartFormat chart="36" format="85">
      <pivotArea type="data" outline="0" fieldPosition="0">
        <references count="2">
          <reference field="4294967294" count="1" selected="0">
            <x v="0"/>
          </reference>
          <reference field="2" count="1" selected="0">
            <x v="6"/>
          </reference>
        </references>
      </pivotArea>
    </chartFormat>
    <chartFormat chart="36" format="86">
      <pivotArea type="data" outline="0" fieldPosition="0">
        <references count="2">
          <reference field="4294967294" count="1" selected="0">
            <x v="0"/>
          </reference>
          <reference field="2" count="1" selected="0">
            <x v="7"/>
          </reference>
        </references>
      </pivotArea>
    </chartFormat>
    <chartFormat chart="36" format="87">
      <pivotArea type="data" outline="0" fieldPosition="0">
        <references count="2">
          <reference field="4294967294" count="1" selected="0">
            <x v="0"/>
          </reference>
          <reference field="2" count="1" selected="0">
            <x v="8"/>
          </reference>
        </references>
      </pivotArea>
    </chartFormat>
    <chartFormat chart="36" format="88">
      <pivotArea type="data" outline="0" fieldPosition="0">
        <references count="2">
          <reference field="4294967294" count="1" selected="0">
            <x v="0"/>
          </reference>
          <reference field="2" count="1" selected="0">
            <x v="9"/>
          </reference>
        </references>
      </pivotArea>
    </chartFormat>
    <chartFormat chart="36" format="89">
      <pivotArea type="data" outline="0" fieldPosition="0">
        <references count="2">
          <reference field="4294967294" count="1" selected="0">
            <x v="0"/>
          </reference>
          <reference field="2" count="1" selected="0">
            <x v="10"/>
          </reference>
        </references>
      </pivotArea>
    </chartFormat>
    <chartFormat chart="36" format="90">
      <pivotArea type="data" outline="0" fieldPosition="0">
        <references count="2">
          <reference field="4294967294" count="1" selected="0">
            <x v="0"/>
          </reference>
          <reference field="2" count="1" selected="0">
            <x v="11"/>
          </reference>
        </references>
      </pivotArea>
    </chartFormat>
    <chartFormat chart="36" format="91">
      <pivotArea type="data" outline="0" fieldPosition="0">
        <references count="2">
          <reference field="4294967294" count="1" selected="0">
            <x v="0"/>
          </reference>
          <reference field="2" count="1" selected="0">
            <x v="12"/>
          </reference>
        </references>
      </pivotArea>
    </chartFormat>
    <chartFormat chart="36" format="92">
      <pivotArea type="data" outline="0" fieldPosition="0">
        <references count="2">
          <reference field="4294967294" count="1" selected="0">
            <x v="0"/>
          </reference>
          <reference field="2" count="1" selected="0">
            <x v="13"/>
          </reference>
        </references>
      </pivotArea>
    </chartFormat>
    <chartFormat chart="36" format="93">
      <pivotArea type="data" outline="0" fieldPosition="0">
        <references count="2">
          <reference field="4294967294" count="1" selected="0">
            <x v="0"/>
          </reference>
          <reference field="2" count="1" selected="0">
            <x v="14"/>
          </reference>
        </references>
      </pivotArea>
    </chartFormat>
    <chartFormat chart="36" format="94">
      <pivotArea type="data" outline="0" fieldPosition="0">
        <references count="2">
          <reference field="4294967294" count="1" selected="0">
            <x v="0"/>
          </reference>
          <reference field="2" count="1" selected="0">
            <x v="15"/>
          </reference>
        </references>
      </pivotArea>
    </chartFormat>
    <chartFormat chart="36" format="95">
      <pivotArea type="data" outline="0" fieldPosition="0">
        <references count="2">
          <reference field="4294967294" count="1" selected="0">
            <x v="0"/>
          </reference>
          <reference field="2" count="1" selected="0">
            <x v="16"/>
          </reference>
        </references>
      </pivotArea>
    </chartFormat>
    <chartFormat chart="36" format="96">
      <pivotArea type="data" outline="0" fieldPosition="0">
        <references count="2">
          <reference field="4294967294" count="1" selected="0">
            <x v="0"/>
          </reference>
          <reference field="2" count="1" selected="0">
            <x v="17"/>
          </reference>
        </references>
      </pivotArea>
    </chartFormat>
    <chartFormat chart="36" format="97">
      <pivotArea type="data" outline="0" fieldPosition="0">
        <references count="2">
          <reference field="4294967294" count="1" selected="0">
            <x v="0"/>
          </reference>
          <reference field="2" count="1" selected="0">
            <x v="18"/>
          </reference>
        </references>
      </pivotArea>
    </chartFormat>
    <chartFormat chart="36" format="98">
      <pivotArea type="data" outline="0" fieldPosition="0">
        <references count="2">
          <reference field="4294967294" count="1" selected="0">
            <x v="0"/>
          </reference>
          <reference field="2" count="1" selected="0">
            <x v="19"/>
          </reference>
        </references>
      </pivotArea>
    </chartFormat>
    <chartFormat chart="36" format="99">
      <pivotArea type="data" outline="0" fieldPosition="0">
        <references count="2">
          <reference field="4294967294" count="1" selected="0">
            <x v="0"/>
          </reference>
          <reference field="2" count="1" selected="0">
            <x v="20"/>
          </reference>
        </references>
      </pivotArea>
    </chartFormat>
    <chartFormat chart="36" format="100">
      <pivotArea type="data" outline="0" fieldPosition="0">
        <references count="2">
          <reference field="4294967294" count="1" selected="0">
            <x v="0"/>
          </reference>
          <reference field="2" count="1" selected="0">
            <x v="21"/>
          </reference>
        </references>
      </pivotArea>
    </chartFormat>
    <chartFormat chart="36" format="101">
      <pivotArea type="data" outline="0" fieldPosition="0">
        <references count="2">
          <reference field="4294967294" count="1" selected="0">
            <x v="0"/>
          </reference>
          <reference field="2" count="1" selected="0">
            <x v="22"/>
          </reference>
        </references>
      </pivotArea>
    </chartFormat>
    <chartFormat chart="40" format="15" series="1">
      <pivotArea type="data" outline="0" fieldPosition="0">
        <references count="1">
          <reference field="4294967294" count="1" selected="0">
            <x v="0"/>
          </reference>
        </references>
      </pivotArea>
    </chartFormat>
    <chartFormat chart="40" format="16">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D613B2B-50C7-4CE1-8704-12DD0C34FAB9}" name="PivotTable1" cacheId="1"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chartFormat="23">
  <location ref="A3:C13" firstHeaderRow="0" firstDataRow="1" firstDataCol="1"/>
  <pivotFields count="17">
    <pivotField axis="axisRow" numFmtId="15" showAll="0" measureFilter="1">
      <items count="250">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items count="7">
        <item x="4"/>
        <item x="3"/>
        <item x="2"/>
        <item x="1"/>
        <item x="0"/>
        <item x="5"/>
        <item t="default"/>
      </items>
    </pivotField>
    <pivotField showAll="0">
      <items count="24">
        <item m="1" x="20"/>
        <item x="2"/>
        <item x="1"/>
        <item m="1" x="21"/>
        <item m="1" x="22"/>
        <item m="1" x="12"/>
        <item m="1" x="13"/>
        <item x="0"/>
        <item m="1" x="14"/>
        <item m="1" x="15"/>
        <item m="1" x="16"/>
        <item m="1" x="17"/>
        <item m="1" x="18"/>
        <item m="1" x="19"/>
        <item x="11"/>
        <item x="10"/>
        <item x="9"/>
        <item x="8"/>
        <item x="7"/>
        <item x="6"/>
        <item x="5"/>
        <item x="4"/>
        <item x="3"/>
        <item t="default"/>
      </items>
    </pivotField>
    <pivotField showAll="0">
      <items count="5">
        <item x="0"/>
        <item x="3"/>
        <item x="2"/>
        <item x="1"/>
        <item t="default"/>
      </items>
    </pivotField>
    <pivotField showAll="0">
      <items count="3">
        <item x="1"/>
        <item x="0"/>
        <item t="default"/>
      </items>
    </pivotField>
    <pivotField showAll="0"/>
    <pivotField numFmtId="2" showAll="0"/>
    <pivotField dataField="1" numFmtId="2" showAll="0"/>
    <pivotField dataField="1" numFmtId="2" showAll="0"/>
    <pivotField numFmtId="2" showAll="0"/>
    <pivotField numFmtId="2" showAll="0"/>
    <pivotField numFmtId="2" showAll="0"/>
    <pivotField numFmtId="2" showAll="0"/>
    <pivotField numFmtId="2" showAll="0"/>
    <pivotField numFmtId="2" showAll="0"/>
    <pivotField numFmtId="2" showAll="0"/>
    <pivotField numFmtId="2" showAll="0"/>
  </pivotFields>
  <rowFields count="1">
    <field x="0"/>
  </rowFields>
  <rowItems count="10">
    <i>
      <x v="79"/>
    </i>
    <i>
      <x v="80"/>
    </i>
    <i>
      <x v="81"/>
    </i>
    <i>
      <x v="82"/>
    </i>
    <i>
      <x v="83"/>
    </i>
    <i>
      <x v="84"/>
    </i>
    <i>
      <x v="94"/>
    </i>
    <i>
      <x v="102"/>
    </i>
    <i>
      <x v="103"/>
    </i>
    <i>
      <x v="104"/>
    </i>
  </rowItems>
  <colFields count="1">
    <field x="-2"/>
  </colFields>
  <colItems count="2">
    <i>
      <x/>
    </i>
    <i i="1">
      <x v="1"/>
    </i>
  </colItems>
  <dataFields count="2">
    <dataField name="Average of HIGH " fld="7" subtotal="average" baseField="0" baseItem="0" numFmtId="2"/>
    <dataField name="Average of LOW " fld="8" subtotal="average" baseField="0" baseItem="0" numFmtId="2"/>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1" format="2"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1"/>
          </reference>
        </references>
      </pivotArea>
    </chartFormat>
    <chartFormat chart="20" format="10" series="1">
      <pivotArea type="data" outline="0" fieldPosition="0">
        <references count="1">
          <reference field="4294967294" count="1" selected="0">
            <x v="0"/>
          </reference>
        </references>
      </pivotArea>
    </chartFormat>
    <chartFormat chart="20" format="11" series="1">
      <pivotArea type="data" outline="0" fieldPosition="0">
        <references count="1">
          <reference field="4294967294" count="1" selected="0">
            <x v="1"/>
          </reference>
        </references>
      </pivotArea>
    </chartFormat>
    <chartFormat chart="21" format="12" series="1">
      <pivotArea type="data" outline="0" fieldPosition="0">
        <references count="1">
          <reference field="4294967294" count="1" selected="0">
            <x v="0"/>
          </reference>
        </references>
      </pivotArea>
    </chartFormat>
    <chartFormat chart="21"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482B097-0CF4-43CB-9219-6E3B32D2BCA1}"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F6" firstHeaderRow="1" firstDataRow="1" firstDataCol="1"/>
  <pivotFields count="17">
    <pivotField numFmtId="15" showAll="0"/>
    <pivotField showAll="0">
      <items count="7">
        <item x="4"/>
        <item x="3"/>
        <item x="2"/>
        <item x="1"/>
        <item x="0"/>
        <item x="5"/>
        <item t="default"/>
      </items>
    </pivotField>
    <pivotField showAll="0">
      <items count="24">
        <item m="1" x="20"/>
        <item x="2"/>
        <item x="1"/>
        <item m="1" x="21"/>
        <item m="1" x="22"/>
        <item m="1" x="12"/>
        <item m="1" x="13"/>
        <item x="0"/>
        <item m="1" x="14"/>
        <item m="1" x="15"/>
        <item m="1" x="16"/>
        <item m="1" x="17"/>
        <item m="1" x="18"/>
        <item m="1" x="19"/>
        <item x="11"/>
        <item x="10"/>
        <item x="9"/>
        <item x="8"/>
        <item x="7"/>
        <item x="6"/>
        <item x="5"/>
        <item x="4"/>
        <item x="3"/>
        <item t="default"/>
      </items>
    </pivotField>
    <pivotField showAll="0">
      <items count="5">
        <item x="0"/>
        <item x="3"/>
        <item x="2"/>
        <item x="1"/>
        <item t="default"/>
      </items>
    </pivotField>
    <pivotField axis="axisRow" showAll="0">
      <items count="3">
        <item x="1"/>
        <item x="0"/>
        <item t="default"/>
      </items>
    </pivotField>
    <pivotField showAll="0"/>
    <pivotField numFmtId="2" showAll="0"/>
    <pivotField numFmtId="2" showAll="0"/>
    <pivotField numFmtId="2" showAll="0"/>
    <pivotField numFmtId="2" showAll="0"/>
    <pivotField numFmtId="2" showAll="0"/>
    <pivotField dataField="1" numFmtId="2" showAll="0"/>
    <pivotField numFmtId="2" showAll="0"/>
    <pivotField numFmtId="2" showAll="0"/>
    <pivotField numFmtId="2" showAll="0"/>
    <pivotField numFmtId="2" showAll="0"/>
    <pivotField numFmtId="2" showAll="0"/>
  </pivotFields>
  <rowFields count="1">
    <field x="4"/>
  </rowFields>
  <rowItems count="3">
    <i>
      <x/>
    </i>
    <i>
      <x v="1"/>
    </i>
    <i t="grand">
      <x/>
    </i>
  </rowItems>
  <colItems count="1">
    <i/>
  </colItems>
  <dataFields count="1">
    <dataField name="Average of close " fld="11" subtotal="average" baseField="3" baseItem="3"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0A03CA2-4228-4E60-BF2A-C7421AA99848}"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17">
    <pivotField numFmtId="15" showAll="0"/>
    <pivotField showAll="0">
      <items count="7">
        <item x="4"/>
        <item x="3"/>
        <item x="2"/>
        <item x="1"/>
        <item x="0"/>
        <item x="5"/>
        <item t="default"/>
      </items>
    </pivotField>
    <pivotField showAll="0">
      <items count="24">
        <item m="1" x="20"/>
        <item x="2"/>
        <item x="1"/>
        <item m="1" x="21"/>
        <item m="1" x="22"/>
        <item m="1" x="12"/>
        <item m="1" x="13"/>
        <item x="0"/>
        <item m="1" x="14"/>
        <item m="1" x="15"/>
        <item m="1" x="16"/>
        <item m="1" x="17"/>
        <item m="1" x="18"/>
        <item m="1" x="19"/>
        <item x="11"/>
        <item x="10"/>
        <item x="9"/>
        <item x="8"/>
        <item x="7"/>
        <item x="6"/>
        <item x="5"/>
        <item x="4"/>
        <item x="3"/>
        <item t="default"/>
      </items>
    </pivotField>
    <pivotField showAll="0">
      <items count="5">
        <item x="0"/>
        <item x="3"/>
        <item x="2"/>
        <item x="1"/>
        <item t="default"/>
      </items>
    </pivotField>
    <pivotField axis="axisRow" showAll="0">
      <items count="3">
        <item x="1"/>
        <item x="0"/>
        <item t="default"/>
      </items>
    </pivotField>
    <pivotField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dataField="1" numFmtId="2" showAll="0"/>
    <pivotField numFmtId="2" showAll="0"/>
  </pivotFields>
  <rowFields count="1">
    <field x="4"/>
  </rowFields>
  <rowItems count="3">
    <i>
      <x/>
    </i>
    <i>
      <x v="1"/>
    </i>
    <i t="grand">
      <x/>
    </i>
  </rowItems>
  <colItems count="1">
    <i/>
  </colItems>
  <dataFields count="1">
    <dataField name="Sum of VOLUME " fld="15"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2" xr10:uid="{6FFC1A20-6AFB-4E45-A0A5-08D01DDCA7D6}" sourceName="Day">
  <pivotTables>
    <pivotTable tabId="9" name="PivotTable1"/>
    <pivotTable tabId="11" name="PivotTable1"/>
    <pivotTable tabId="4" name="PivotTable3"/>
    <pivotTable tabId="22" name="PivotTable1"/>
    <pivotTable tabId="22" name="PivotTable2"/>
    <pivotTable tabId="12" name="PivotTable1"/>
    <pivotTable tabId="3" name="PivotTable1"/>
  </pivotTables>
  <data>
    <tabular pivotCacheId="924707900">
      <items count="6">
        <i x="4" s="1"/>
        <i x="3" s="1"/>
        <i x="2" s="1"/>
        <i x="1" s="1"/>
        <i x="0"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BBE96CC9-A2C6-4491-B873-0427960F49EC}" sourceName="Month">
  <pivotTables>
    <pivotTable tabId="9" name="PivotTable1"/>
    <pivotTable tabId="11" name="PivotTable1"/>
    <pivotTable tabId="4" name="PivotTable3"/>
    <pivotTable tabId="3" name="PivotTable1"/>
    <pivotTable tabId="22" name="PivotTable1"/>
    <pivotTable tabId="22" name="PivotTable2"/>
    <pivotTable tabId="12" name="PivotTable1"/>
  </pivotTables>
  <data>
    <tabular pivotCacheId="924707900">
      <items count="23">
        <i x="2" s="1"/>
        <i x="1" s="1"/>
        <i x="0" s="1"/>
        <i x="11" s="1"/>
        <i x="10" s="1"/>
        <i x="9" s="1"/>
        <i x="8" s="1"/>
        <i x="7" s="1"/>
        <i x="6" s="1"/>
        <i x="5" s="1"/>
        <i x="4" s="1"/>
        <i x="3" s="1"/>
        <i x="20" s="1" nd="1"/>
        <i x="21" s="1" nd="1"/>
        <i x="12" s="1" nd="1"/>
        <i x="13" s="1" nd="1"/>
        <i x="14" s="1" nd="1"/>
        <i x="15" s="1" nd="1"/>
        <i x="16" s="1" nd="1"/>
        <i x="17" s="1" nd="1"/>
        <i x="18" s="1" nd="1"/>
        <i x="19" s="1" nd="1"/>
        <i x="2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1" xr10:uid="{3359563C-DF2C-41C1-BD95-FB04920C76E5}" sourceName="Quarter">
  <pivotTables>
    <pivotTable tabId="9" name="PivotTable1"/>
    <pivotTable tabId="11" name="PivotTable1"/>
    <pivotTable tabId="4" name="PivotTable3"/>
    <pivotTable tabId="22" name="PivotTable1"/>
    <pivotTable tabId="22" name="PivotTable2"/>
    <pivotTable tabId="12" name="PivotTable1"/>
    <pivotTable tabId="3" name="PivotTable1"/>
  </pivotTables>
  <data>
    <tabular pivotCacheId="924707900">
      <items count="4">
        <i x="0" s="1"/>
        <i x="3"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2D6E86E7-D7FD-4C42-832E-C7978D8166A0}" sourceName="Year">
  <pivotTables>
    <pivotTable tabId="9" name="PivotTable1"/>
    <pivotTable tabId="11" name="PivotTable1"/>
    <pivotTable tabId="4" name="PivotTable3"/>
    <pivotTable tabId="3" name="PivotTable1"/>
    <pivotTable tabId="22" name="PivotTable1"/>
    <pivotTable tabId="22" name="PivotTable2"/>
    <pivotTable tabId="12" name="PivotTable1"/>
  </pivotTables>
  <data>
    <tabular pivotCacheId="924707900">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2" xr10:uid="{E8B7A12A-4916-4327-9672-931CC6021A54}" cache="Slicer_Day2" caption="Day" rowHeight="257175"/>
  <slicer name="Quarter" xr10:uid="{B93933D8-B44B-4F86-838A-BEACCC806FD7}" cache="Slicer_Quarter1" caption="Quarter" rowHeight="257175"/>
  <slicer name="Year" xr10:uid="{6030DDA6-F932-436E-A759-22255F7CBFF2}" cache="Slicer_Year1" caption="Year" rowHeight="257175"/>
  <slicer name="Year 1" xr10:uid="{59960217-8D62-4798-B6D1-F547900D3D29}" cache="Slicer_Year1" caption="Year"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4" xr10:uid="{FD6678DE-97F6-46DF-A33F-6DEFC8A084C4}" cache="Slicer_Day2" caption="Day" startItem="5" showCaption="0" style="Slicer Style 2" rowHeight="257175"/>
  <slicer name="Month 2" xr10:uid="{2E0BA945-2568-4CFD-B6D3-DBB0D9043585}" cache="Slicer_Month1" caption="Month" showCaption="0" style="Slicer Style 2" rowHeight="257175"/>
  <slicer name="Quarter 2" xr10:uid="{FE542FC1-27CF-4613-B944-97D50CD0B93E}" cache="Slicer_Quarter1" caption="Quarter" showCaption="0" style="Slicer Style 2" rowHeight="257175"/>
  <slicer name="Year 2" xr10:uid="{C1EBD0C3-F0DA-4EEF-9EC3-93AF415A8C8C}" cache="Slicer_Year1" caption="Year" startItem="1" showCaption="0" style="Slicer Style 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2CD9CA3-4EB9-4B85-B663-C38ECEF0A310}" name="Table2" displayName="Table2" ref="A1:Q250" totalsRowShown="0">
  <autoFilter ref="A1:Q250" xr:uid="{E2CD9CA3-4EB9-4B85-B663-C38ECEF0A310}"/>
  <sortState xmlns:xlrd2="http://schemas.microsoft.com/office/spreadsheetml/2017/richdata2" ref="A2:Q250">
    <sortCondition descending="1" ref="A1:A250"/>
  </sortState>
  <tableColumns count="17">
    <tableColumn id="1" xr3:uid="{E508BDFC-24D5-4B66-B434-6DD6A5D404FD}" name="Date " dataDxfId="15"/>
    <tableColumn id="2" xr3:uid="{5E3EDD90-6B70-4D40-AB8C-D3671E531950}" name="Day" dataDxfId="14">
      <calculatedColumnFormula>TEXT(A2,"dddd")</calculatedColumnFormula>
    </tableColumn>
    <tableColumn id="3" xr3:uid="{0C886BCC-BF2E-4907-8E3F-BC6F9C6EE2F4}" name="Month" dataDxfId="13">
      <calculatedColumnFormula>TEXT(A3,"mmm")</calculatedColumnFormula>
    </tableColumn>
    <tableColumn id="4" xr3:uid="{BF0DBB51-1A92-4365-8C36-8F8516733677}" name="Quarter" dataDxfId="12">
      <calculatedColumnFormula>"Q"&amp;ROUNDUP(MONTH(A2)/3,0)</calculatedColumnFormula>
    </tableColumn>
    <tableColumn id="5" xr3:uid="{76D6A08B-76CA-484F-8C57-5746EFA45753}" name="Year" dataDxfId="11">
      <calculatedColumnFormula>TEXT(A2,"yyyy")</calculatedColumnFormula>
    </tableColumn>
    <tableColumn id="6" xr3:uid="{6CAE9A1C-EC8D-46D5-A06E-A2CC9649CF7E}" name="series "/>
    <tableColumn id="7" xr3:uid="{E2ACC75C-37B0-414A-B659-79C7696A8A2B}" name="OPEN " dataDxfId="10"/>
    <tableColumn id="8" xr3:uid="{8EC4B889-C327-4AD9-B0EB-C096FFCE0C8E}" name="HIGH " dataDxfId="9"/>
    <tableColumn id="9" xr3:uid="{7F452081-05C0-4D9A-BAD1-E1B4A19F2DCD}" name="LOW " dataDxfId="8"/>
    <tableColumn id="10" xr3:uid="{50E33CAC-EB88-4B77-9DE5-D7D54CC97051}" name="PREV. CLOSE " dataDxfId="7"/>
    <tableColumn id="11" xr3:uid="{5639BBFC-FDE3-407D-B2BC-A1217300E2E8}" name="ltp " dataDxfId="6"/>
    <tableColumn id="12" xr3:uid="{2401644B-B401-4953-8144-378F22F46E42}" name="close " dataDxfId="5"/>
    <tableColumn id="13" xr3:uid="{FB015FC6-C792-400A-9DCA-7CE7EC2C1939}" name="vwap " dataDxfId="4"/>
    <tableColumn id="14" xr3:uid="{D9C36748-5DA3-470F-9922-B0B639C70E78}" name="52W H " dataDxfId="3"/>
    <tableColumn id="15" xr3:uid="{43D474EE-43ED-4913-985E-331C1E28881F}" name="52W L " dataDxfId="2"/>
    <tableColumn id="16" xr3:uid="{1E19E1D2-51FF-4BD3-A9B8-EA71C49DED93}" name="VOLUME " dataDxfId="1"/>
    <tableColumn id="18" xr3:uid="{9EA94D37-5282-47DD-A1CA-D2570E6E9C22}" name="No of trades " dataDxfId="0"/>
  </tableColumns>
  <tableStyleInfo name="TableStyleDark1" showFirstColumn="0" showLastColumn="0" showRowStripes="1" showColumnStripes="0"/>
</table>
</file>

<file path=xl/theme/theme1.xml><?xml version="1.0" encoding="utf-8"?>
<a:theme xmlns:a="http://schemas.openxmlformats.org/drawingml/2006/main" name="Office Theme">
  <a:themeElements>
    <a:clrScheme name="Blue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1EEAF-15B3-48C6-99F0-7980BBD8799A}">
  <dimension ref="A1:Q250"/>
  <sheetViews>
    <sheetView workbookViewId="0">
      <selection activeCell="I3" sqref="I3"/>
    </sheetView>
  </sheetViews>
  <sheetFormatPr defaultRowHeight="15" x14ac:dyDescent="0.25"/>
  <cols>
    <col min="1" max="1" width="10" bestFit="1" customWidth="1"/>
    <col min="2" max="2" width="12.42578125" customWidth="1"/>
    <col min="3" max="3" width="9.7109375" customWidth="1"/>
    <col min="4" max="5" width="10" customWidth="1"/>
    <col min="6" max="6" width="9.140625" customWidth="1"/>
    <col min="7" max="7" width="8.85546875" customWidth="1"/>
    <col min="8" max="8" width="8.42578125" customWidth="1"/>
    <col min="9" max="9" width="8.28515625" bestFit="1" customWidth="1"/>
    <col min="10" max="10" width="15.42578125" customWidth="1"/>
    <col min="11" max="11" width="8.28515625" bestFit="1" customWidth="1"/>
    <col min="12" max="12" width="8.42578125" customWidth="1"/>
    <col min="13" max="13" width="8.28515625" bestFit="1" customWidth="1"/>
    <col min="14" max="14" width="9.28515625" customWidth="1"/>
    <col min="15" max="15" width="8.85546875" customWidth="1"/>
    <col min="16" max="16" width="11.5703125" bestFit="1" customWidth="1"/>
    <col min="17" max="17" width="15.85546875" customWidth="1"/>
  </cols>
  <sheetData>
    <row r="1" spans="1:17" x14ac:dyDescent="0.25">
      <c r="A1" t="s">
        <v>0</v>
      </c>
      <c r="B1" t="s">
        <v>14</v>
      </c>
      <c r="C1" t="s">
        <v>15</v>
      </c>
      <c r="D1" t="s">
        <v>17</v>
      </c>
      <c r="E1" t="s">
        <v>16</v>
      </c>
      <c r="F1" t="s">
        <v>1</v>
      </c>
      <c r="G1" t="s">
        <v>2</v>
      </c>
      <c r="H1" t="s">
        <v>3</v>
      </c>
      <c r="I1" t="s">
        <v>4</v>
      </c>
      <c r="J1" t="s">
        <v>5</v>
      </c>
      <c r="K1" t="s">
        <v>6</v>
      </c>
      <c r="L1" t="s">
        <v>7</v>
      </c>
      <c r="M1" t="s">
        <v>8</v>
      </c>
      <c r="N1" t="s">
        <v>9</v>
      </c>
      <c r="O1" t="s">
        <v>10</v>
      </c>
      <c r="P1" t="s">
        <v>11</v>
      </c>
      <c r="Q1" t="s">
        <v>12</v>
      </c>
    </row>
    <row r="2" spans="1:17" x14ac:dyDescent="0.25">
      <c r="A2" s="1">
        <v>45744</v>
      </c>
      <c r="B2" s="1" t="str">
        <f t="shared" ref="B2:B65" si="0">TEXT(A2,"dddd")</f>
        <v>Friday</v>
      </c>
      <c r="C2" s="1" t="str">
        <f t="shared" ref="C2:C65" si="1">TEXT(A3,"mmm")</f>
        <v>Mar</v>
      </c>
      <c r="D2" s="1" t="str">
        <f t="shared" ref="D2:D65" si="2">"Q"&amp;ROUNDUP(MONTH(A2)/3,0)</f>
        <v>Q1</v>
      </c>
      <c r="E2" s="1" t="str">
        <f t="shared" ref="E2:E65" si="3">TEXT(A2,"yyyy")</f>
        <v>2025</v>
      </c>
      <c r="F2" t="s">
        <v>13</v>
      </c>
      <c r="G2" s="2">
        <v>671.85</v>
      </c>
      <c r="H2" s="2">
        <v>684.95</v>
      </c>
      <c r="I2" s="2">
        <v>669.3</v>
      </c>
      <c r="J2" s="2">
        <v>668.55</v>
      </c>
      <c r="K2" s="2">
        <v>673.25</v>
      </c>
      <c r="L2" s="2">
        <v>674.45</v>
      </c>
      <c r="M2" s="2">
        <v>675.72</v>
      </c>
      <c r="N2" s="2">
        <v>1179</v>
      </c>
      <c r="O2" s="2">
        <v>606.29999999999995</v>
      </c>
      <c r="P2" s="2">
        <v>16013687</v>
      </c>
      <c r="Q2" s="2">
        <v>223287</v>
      </c>
    </row>
    <row r="3" spans="1:17" x14ac:dyDescent="0.25">
      <c r="A3" s="1">
        <v>45743</v>
      </c>
      <c r="B3" s="1" t="str">
        <f t="shared" si="0"/>
        <v>Thursday</v>
      </c>
      <c r="C3" s="1" t="str">
        <f t="shared" si="1"/>
        <v>Mar</v>
      </c>
      <c r="D3" s="1" t="str">
        <f t="shared" si="2"/>
        <v>Q1</v>
      </c>
      <c r="E3" s="1" t="str">
        <f t="shared" si="3"/>
        <v>2025</v>
      </c>
      <c r="F3" t="s">
        <v>13</v>
      </c>
      <c r="G3" s="2">
        <v>668</v>
      </c>
      <c r="H3" s="2">
        <v>676.6</v>
      </c>
      <c r="I3" s="2">
        <v>661.1</v>
      </c>
      <c r="J3" s="2">
        <v>708.25</v>
      </c>
      <c r="K3" s="2">
        <v>669.5</v>
      </c>
      <c r="L3" s="2">
        <v>668.55</v>
      </c>
      <c r="M3" s="2">
        <v>669.35</v>
      </c>
      <c r="N3" s="2">
        <v>1179</v>
      </c>
      <c r="O3" s="2">
        <v>606.29999999999995</v>
      </c>
      <c r="P3" s="2">
        <v>34238666</v>
      </c>
      <c r="Q3" s="2">
        <v>678323</v>
      </c>
    </row>
    <row r="4" spans="1:17" x14ac:dyDescent="0.25">
      <c r="A4" s="1">
        <v>45742</v>
      </c>
      <c r="B4" s="1" t="str">
        <f t="shared" si="0"/>
        <v>Wednesday</v>
      </c>
      <c r="C4" s="1" t="str">
        <f t="shared" si="1"/>
        <v>Mar</v>
      </c>
      <c r="D4" s="1" t="str">
        <f t="shared" si="2"/>
        <v>Q1</v>
      </c>
      <c r="E4" s="1" t="str">
        <f t="shared" si="3"/>
        <v>2025</v>
      </c>
      <c r="F4" t="s">
        <v>13</v>
      </c>
      <c r="G4" s="2">
        <v>710.3</v>
      </c>
      <c r="H4" s="2">
        <v>717.85</v>
      </c>
      <c r="I4" s="2">
        <v>707</v>
      </c>
      <c r="J4" s="2">
        <v>710.3</v>
      </c>
      <c r="K4" s="2">
        <v>707.4</v>
      </c>
      <c r="L4" s="2">
        <v>708.25</v>
      </c>
      <c r="M4" s="2">
        <v>711.37</v>
      </c>
      <c r="N4" s="2">
        <v>1179</v>
      </c>
      <c r="O4" s="2">
        <v>606.29999999999995</v>
      </c>
      <c r="P4" s="2">
        <v>9363180</v>
      </c>
      <c r="Q4" s="2">
        <v>162046</v>
      </c>
    </row>
    <row r="5" spans="1:17" x14ac:dyDescent="0.25">
      <c r="A5" s="1">
        <v>45741</v>
      </c>
      <c r="B5" s="1" t="str">
        <f t="shared" si="0"/>
        <v>Tuesday</v>
      </c>
      <c r="C5" s="1" t="str">
        <f t="shared" si="1"/>
        <v>Mar</v>
      </c>
      <c r="D5" s="1" t="str">
        <f t="shared" si="2"/>
        <v>Q1</v>
      </c>
      <c r="E5" s="1" t="str">
        <f t="shared" si="3"/>
        <v>2025</v>
      </c>
      <c r="F5" t="s">
        <v>13</v>
      </c>
      <c r="G5" s="2">
        <v>719</v>
      </c>
      <c r="H5" s="2">
        <v>723.05</v>
      </c>
      <c r="I5" s="2">
        <v>706.35</v>
      </c>
      <c r="J5" s="2">
        <v>713.5</v>
      </c>
      <c r="K5" s="2">
        <v>707.5</v>
      </c>
      <c r="L5" s="2">
        <v>710.3</v>
      </c>
      <c r="M5" s="2">
        <v>714.13</v>
      </c>
      <c r="N5" s="2">
        <v>1179</v>
      </c>
      <c r="O5" s="2">
        <v>606.29999999999995</v>
      </c>
      <c r="P5" s="2">
        <v>13617465</v>
      </c>
      <c r="Q5" s="2">
        <v>276282</v>
      </c>
    </row>
    <row r="6" spans="1:17" x14ac:dyDescent="0.25">
      <c r="A6" s="1">
        <v>45740</v>
      </c>
      <c r="B6" s="1" t="str">
        <f t="shared" si="0"/>
        <v>Monday</v>
      </c>
      <c r="C6" s="1" t="str">
        <f t="shared" si="1"/>
        <v>Mar</v>
      </c>
      <c r="D6" s="1" t="str">
        <f t="shared" si="2"/>
        <v>Q1</v>
      </c>
      <c r="E6" s="1" t="str">
        <f t="shared" si="3"/>
        <v>2025</v>
      </c>
      <c r="F6" t="s">
        <v>13</v>
      </c>
      <c r="G6" s="2">
        <v>710</v>
      </c>
      <c r="H6" s="2">
        <v>717.5</v>
      </c>
      <c r="I6" s="2">
        <v>702.05</v>
      </c>
      <c r="J6" s="2">
        <v>702.95</v>
      </c>
      <c r="K6" s="2">
        <v>713.9</v>
      </c>
      <c r="L6" s="2">
        <v>713.5</v>
      </c>
      <c r="M6" s="2">
        <v>710.33</v>
      </c>
      <c r="N6" s="2">
        <v>1179</v>
      </c>
      <c r="O6" s="2">
        <v>606.29999999999995</v>
      </c>
      <c r="P6" s="2">
        <v>11671359</v>
      </c>
      <c r="Q6" s="2">
        <v>234530</v>
      </c>
    </row>
    <row r="7" spans="1:17" x14ac:dyDescent="0.25">
      <c r="A7" s="1">
        <v>45737</v>
      </c>
      <c r="B7" s="1" t="str">
        <f t="shared" si="0"/>
        <v>Friday</v>
      </c>
      <c r="C7" s="1" t="str">
        <f t="shared" si="1"/>
        <v>Mar</v>
      </c>
      <c r="D7" s="1" t="str">
        <f t="shared" si="2"/>
        <v>Q1</v>
      </c>
      <c r="E7" s="1" t="str">
        <f t="shared" si="3"/>
        <v>2025</v>
      </c>
      <c r="F7" t="s">
        <v>13</v>
      </c>
      <c r="G7" s="2">
        <v>693</v>
      </c>
      <c r="H7" s="2">
        <v>705</v>
      </c>
      <c r="I7" s="2">
        <v>688.55</v>
      </c>
      <c r="J7" s="2">
        <v>690.05</v>
      </c>
      <c r="K7" s="2">
        <v>702.5</v>
      </c>
      <c r="L7" s="2">
        <v>702.95</v>
      </c>
      <c r="M7" s="2">
        <v>699.9</v>
      </c>
      <c r="N7" s="2">
        <v>1179</v>
      </c>
      <c r="O7" s="2">
        <v>606.29999999999995</v>
      </c>
      <c r="P7" s="2">
        <v>14823483</v>
      </c>
      <c r="Q7" s="2">
        <v>178336</v>
      </c>
    </row>
    <row r="8" spans="1:17" x14ac:dyDescent="0.25">
      <c r="A8" s="1">
        <v>45736</v>
      </c>
      <c r="B8" s="1" t="str">
        <f t="shared" si="0"/>
        <v>Thursday</v>
      </c>
      <c r="C8" s="1" t="str">
        <f t="shared" si="1"/>
        <v>Mar</v>
      </c>
      <c r="D8" s="1" t="str">
        <f t="shared" si="2"/>
        <v>Q1</v>
      </c>
      <c r="E8" s="1" t="str">
        <f t="shared" si="3"/>
        <v>2025</v>
      </c>
      <c r="F8" t="s">
        <v>13</v>
      </c>
      <c r="G8" s="2">
        <v>685</v>
      </c>
      <c r="H8" s="2">
        <v>692.7</v>
      </c>
      <c r="I8" s="2">
        <v>679</v>
      </c>
      <c r="J8" s="2">
        <v>682.25</v>
      </c>
      <c r="K8" s="2">
        <v>689.5</v>
      </c>
      <c r="L8" s="2">
        <v>690.05</v>
      </c>
      <c r="M8" s="2">
        <v>686.79</v>
      </c>
      <c r="N8" s="2">
        <v>1179</v>
      </c>
      <c r="O8" s="2">
        <v>606.29999999999995</v>
      </c>
      <c r="P8" s="2">
        <v>9712600</v>
      </c>
      <c r="Q8" s="2">
        <v>166825</v>
      </c>
    </row>
    <row r="9" spans="1:17" x14ac:dyDescent="0.25">
      <c r="A9" s="1">
        <v>45735</v>
      </c>
      <c r="B9" s="1" t="str">
        <f t="shared" si="0"/>
        <v>Wednesday</v>
      </c>
      <c r="C9" s="1" t="str">
        <f t="shared" si="1"/>
        <v>Mar</v>
      </c>
      <c r="D9" s="1" t="str">
        <f t="shared" si="2"/>
        <v>Q1</v>
      </c>
      <c r="E9" s="1" t="str">
        <f t="shared" si="3"/>
        <v>2025</v>
      </c>
      <c r="F9" t="s">
        <v>13</v>
      </c>
      <c r="G9" s="2">
        <v>685.4</v>
      </c>
      <c r="H9" s="2">
        <v>685.75</v>
      </c>
      <c r="I9" s="2">
        <v>678.55</v>
      </c>
      <c r="J9" s="2">
        <v>680.05</v>
      </c>
      <c r="K9" s="2">
        <v>681.05</v>
      </c>
      <c r="L9" s="2">
        <v>682.25</v>
      </c>
      <c r="M9" s="2">
        <v>681.69</v>
      </c>
      <c r="N9" s="2">
        <v>1179</v>
      </c>
      <c r="O9" s="2">
        <v>606.29999999999995</v>
      </c>
      <c r="P9" s="2">
        <v>9338414</v>
      </c>
      <c r="Q9" s="2">
        <v>181525</v>
      </c>
    </row>
    <row r="10" spans="1:17" x14ac:dyDescent="0.25">
      <c r="A10" s="1">
        <v>45734</v>
      </c>
      <c r="B10" s="1" t="str">
        <f t="shared" si="0"/>
        <v>Tuesday</v>
      </c>
      <c r="C10" s="1" t="str">
        <f t="shared" si="1"/>
        <v>Mar</v>
      </c>
      <c r="D10" s="1" t="str">
        <f t="shared" si="2"/>
        <v>Q1</v>
      </c>
      <c r="E10" s="1" t="str">
        <f t="shared" si="3"/>
        <v>2025</v>
      </c>
      <c r="F10" t="s">
        <v>13</v>
      </c>
      <c r="G10" s="2">
        <v>665</v>
      </c>
      <c r="H10" s="2">
        <v>681.7</v>
      </c>
      <c r="I10" s="2">
        <v>663.9</v>
      </c>
      <c r="J10" s="2">
        <v>661.05</v>
      </c>
      <c r="K10" s="2">
        <v>678.8</v>
      </c>
      <c r="L10" s="2">
        <v>680.05</v>
      </c>
      <c r="M10" s="2">
        <v>674.98</v>
      </c>
      <c r="N10" s="2">
        <v>1179</v>
      </c>
      <c r="O10" s="2">
        <v>606.29999999999995</v>
      </c>
      <c r="P10" s="2">
        <v>11236084</v>
      </c>
      <c r="Q10" s="2">
        <v>201406</v>
      </c>
    </row>
    <row r="11" spans="1:17" x14ac:dyDescent="0.25">
      <c r="A11" s="1">
        <v>45733</v>
      </c>
      <c r="B11" s="1" t="str">
        <f t="shared" si="0"/>
        <v>Monday</v>
      </c>
      <c r="C11" s="1" t="str">
        <f t="shared" si="1"/>
        <v>Mar</v>
      </c>
      <c r="D11" s="1" t="str">
        <f t="shared" si="2"/>
        <v>Q1</v>
      </c>
      <c r="E11" s="1" t="str">
        <f t="shared" si="3"/>
        <v>2025</v>
      </c>
      <c r="F11" t="s">
        <v>13</v>
      </c>
      <c r="G11" s="2">
        <v>665.05</v>
      </c>
      <c r="H11" s="2">
        <v>666.45</v>
      </c>
      <c r="I11" s="2">
        <v>657.45</v>
      </c>
      <c r="J11" s="2">
        <v>655.5</v>
      </c>
      <c r="K11" s="2">
        <v>660.1</v>
      </c>
      <c r="L11" s="2">
        <v>661.05</v>
      </c>
      <c r="M11" s="2">
        <v>661.92</v>
      </c>
      <c r="N11" s="2">
        <v>1179</v>
      </c>
      <c r="O11" s="2">
        <v>606.29999999999995</v>
      </c>
      <c r="P11" s="2">
        <v>9174408</v>
      </c>
      <c r="Q11" s="2">
        <v>180213</v>
      </c>
    </row>
    <row r="12" spans="1:17" x14ac:dyDescent="0.25">
      <c r="A12" s="1">
        <v>45729</v>
      </c>
      <c r="B12" s="1" t="str">
        <f t="shared" si="0"/>
        <v>Thursday</v>
      </c>
      <c r="C12" s="1" t="str">
        <f t="shared" si="1"/>
        <v>Mar</v>
      </c>
      <c r="D12" s="1" t="str">
        <f t="shared" si="2"/>
        <v>Q1</v>
      </c>
      <c r="E12" s="1" t="str">
        <f t="shared" si="3"/>
        <v>2025</v>
      </c>
      <c r="F12" t="s">
        <v>13</v>
      </c>
      <c r="G12" s="2">
        <v>670.65</v>
      </c>
      <c r="H12" s="2">
        <v>671.85</v>
      </c>
      <c r="I12" s="2">
        <v>649.6</v>
      </c>
      <c r="J12" s="2">
        <v>668.3</v>
      </c>
      <c r="K12" s="2">
        <v>654.70000000000005</v>
      </c>
      <c r="L12" s="2">
        <v>655.5</v>
      </c>
      <c r="M12" s="2">
        <v>658.17</v>
      </c>
      <c r="N12" s="2">
        <v>1179</v>
      </c>
      <c r="O12" s="2">
        <v>606.29999999999995</v>
      </c>
      <c r="P12" s="2">
        <v>14004345</v>
      </c>
      <c r="Q12" s="2">
        <v>208418</v>
      </c>
    </row>
    <row r="13" spans="1:17" x14ac:dyDescent="0.25">
      <c r="A13" s="1">
        <v>45728</v>
      </c>
      <c r="B13" s="1" t="str">
        <f t="shared" si="0"/>
        <v>Wednesday</v>
      </c>
      <c r="C13" s="1" t="str">
        <f t="shared" si="1"/>
        <v>Mar</v>
      </c>
      <c r="D13" s="1" t="str">
        <f t="shared" si="2"/>
        <v>Q1</v>
      </c>
      <c r="E13" s="1" t="str">
        <f t="shared" si="3"/>
        <v>2025</v>
      </c>
      <c r="F13" t="s">
        <v>13</v>
      </c>
      <c r="G13" s="2">
        <v>654.5</v>
      </c>
      <c r="H13" s="2">
        <v>671.9</v>
      </c>
      <c r="I13" s="2">
        <v>652.25</v>
      </c>
      <c r="J13" s="2">
        <v>648.04999999999995</v>
      </c>
      <c r="K13" s="2">
        <v>668.15</v>
      </c>
      <c r="L13" s="2">
        <v>668.3</v>
      </c>
      <c r="M13" s="2">
        <v>665.67</v>
      </c>
      <c r="N13" s="2">
        <v>1179</v>
      </c>
      <c r="O13" s="2">
        <v>606.29999999999995</v>
      </c>
      <c r="P13" s="2">
        <v>18732785</v>
      </c>
      <c r="Q13" s="2">
        <v>293574</v>
      </c>
    </row>
    <row r="14" spans="1:17" x14ac:dyDescent="0.25">
      <c r="A14" s="1">
        <v>45727</v>
      </c>
      <c r="B14" s="1" t="str">
        <f t="shared" si="0"/>
        <v>Tuesday</v>
      </c>
      <c r="C14" s="1" t="str">
        <f t="shared" si="1"/>
        <v>Mar</v>
      </c>
      <c r="D14" s="1" t="str">
        <f t="shared" si="2"/>
        <v>Q1</v>
      </c>
      <c r="E14" s="1" t="str">
        <f t="shared" si="3"/>
        <v>2025</v>
      </c>
      <c r="F14" t="s">
        <v>13</v>
      </c>
      <c r="G14" s="2">
        <v>640</v>
      </c>
      <c r="H14" s="2">
        <v>651.15</v>
      </c>
      <c r="I14" s="2">
        <v>638.45000000000005</v>
      </c>
      <c r="J14" s="2">
        <v>648.15</v>
      </c>
      <c r="K14" s="2">
        <v>648.9</v>
      </c>
      <c r="L14" s="2">
        <v>648.04999999999995</v>
      </c>
      <c r="M14" s="2">
        <v>646.66</v>
      </c>
      <c r="N14" s="2">
        <v>1179</v>
      </c>
      <c r="O14" s="2">
        <v>606.29999999999995</v>
      </c>
      <c r="P14" s="2">
        <v>9534750</v>
      </c>
      <c r="Q14" s="2">
        <v>173182</v>
      </c>
    </row>
    <row r="15" spans="1:17" x14ac:dyDescent="0.25">
      <c r="A15" s="1">
        <v>45726</v>
      </c>
      <c r="B15" s="1" t="str">
        <f t="shared" si="0"/>
        <v>Monday</v>
      </c>
      <c r="C15" s="1" t="str">
        <f t="shared" si="1"/>
        <v>Mar</v>
      </c>
      <c r="D15" s="1" t="str">
        <f t="shared" si="2"/>
        <v>Q1</v>
      </c>
      <c r="E15" s="1" t="str">
        <f t="shared" si="3"/>
        <v>2025</v>
      </c>
      <c r="F15" t="s">
        <v>13</v>
      </c>
      <c r="G15" s="2">
        <v>648.29999999999995</v>
      </c>
      <c r="H15" s="2">
        <v>654.25</v>
      </c>
      <c r="I15" s="2">
        <v>643.35</v>
      </c>
      <c r="J15" s="2">
        <v>648.29999999999995</v>
      </c>
      <c r="K15" s="2">
        <v>646.25</v>
      </c>
      <c r="L15" s="2">
        <v>648.15</v>
      </c>
      <c r="M15" s="2">
        <v>648.76</v>
      </c>
      <c r="N15" s="2">
        <v>1179</v>
      </c>
      <c r="O15" s="2">
        <v>606.29999999999995</v>
      </c>
      <c r="P15" s="2">
        <v>10309166</v>
      </c>
      <c r="Q15" s="2">
        <v>191705</v>
      </c>
    </row>
    <row r="16" spans="1:17" x14ac:dyDescent="0.25">
      <c r="A16" s="1">
        <v>45723</v>
      </c>
      <c r="B16" s="1" t="str">
        <f t="shared" si="0"/>
        <v>Friday</v>
      </c>
      <c r="C16" s="1" t="str">
        <f t="shared" si="1"/>
        <v>Mar</v>
      </c>
      <c r="D16" s="1" t="str">
        <f t="shared" si="2"/>
        <v>Q1</v>
      </c>
      <c r="E16" s="1" t="str">
        <f t="shared" si="3"/>
        <v>2025</v>
      </c>
      <c r="F16" t="s">
        <v>13</v>
      </c>
      <c r="G16" s="2">
        <v>640</v>
      </c>
      <c r="H16" s="2">
        <v>651.5</v>
      </c>
      <c r="I16" s="2">
        <v>635</v>
      </c>
      <c r="J16" s="2">
        <v>639.65</v>
      </c>
      <c r="K16" s="2">
        <v>647.5</v>
      </c>
      <c r="L16" s="2">
        <v>648.29999999999995</v>
      </c>
      <c r="M16" s="2">
        <v>646.83000000000004</v>
      </c>
      <c r="N16" s="2">
        <v>1179</v>
      </c>
      <c r="O16" s="2">
        <v>606.29999999999995</v>
      </c>
      <c r="P16" s="2">
        <v>10123450</v>
      </c>
      <c r="Q16" s="2">
        <v>188802</v>
      </c>
    </row>
    <row r="17" spans="1:17" x14ac:dyDescent="0.25">
      <c r="A17" s="1">
        <v>45722</v>
      </c>
      <c r="B17" s="1" t="str">
        <f t="shared" si="0"/>
        <v>Thursday</v>
      </c>
      <c r="C17" s="1" t="str">
        <f t="shared" si="1"/>
        <v>Mar</v>
      </c>
      <c r="D17" s="1" t="str">
        <f t="shared" si="2"/>
        <v>Q1</v>
      </c>
      <c r="E17" s="1" t="str">
        <f t="shared" si="3"/>
        <v>2025</v>
      </c>
      <c r="F17" t="s">
        <v>13</v>
      </c>
      <c r="G17" s="2">
        <v>653.25</v>
      </c>
      <c r="H17" s="2">
        <v>655.95</v>
      </c>
      <c r="I17" s="2">
        <v>635.6</v>
      </c>
      <c r="J17" s="2">
        <v>640.79999999999995</v>
      </c>
      <c r="K17" s="2">
        <v>638.9</v>
      </c>
      <c r="L17" s="2">
        <v>639.65</v>
      </c>
      <c r="M17" s="2">
        <v>641.30999999999995</v>
      </c>
      <c r="N17" s="2">
        <v>1179</v>
      </c>
      <c r="O17" s="2">
        <v>606.29999999999995</v>
      </c>
      <c r="P17" s="2">
        <v>16991501</v>
      </c>
      <c r="Q17" s="2">
        <v>306481</v>
      </c>
    </row>
    <row r="18" spans="1:17" x14ac:dyDescent="0.25">
      <c r="A18" s="1">
        <v>45721</v>
      </c>
      <c r="B18" s="1" t="str">
        <f t="shared" si="0"/>
        <v>Wednesday</v>
      </c>
      <c r="C18" s="1" t="str">
        <f t="shared" si="1"/>
        <v>Mar</v>
      </c>
      <c r="D18" s="1" t="str">
        <f t="shared" si="2"/>
        <v>Q1</v>
      </c>
      <c r="E18" s="1" t="str">
        <f t="shared" si="3"/>
        <v>2025</v>
      </c>
      <c r="F18" t="s">
        <v>13</v>
      </c>
      <c r="G18" s="2">
        <v>619</v>
      </c>
      <c r="H18" s="2">
        <v>641.6</v>
      </c>
      <c r="I18" s="2">
        <v>618.6</v>
      </c>
      <c r="J18" s="2">
        <v>619.20000000000005</v>
      </c>
      <c r="K18" s="2">
        <v>641.6</v>
      </c>
      <c r="L18" s="2">
        <v>640.79999999999995</v>
      </c>
      <c r="M18" s="2">
        <v>634.35</v>
      </c>
      <c r="N18" s="2">
        <v>1179</v>
      </c>
      <c r="O18" s="2">
        <v>606.29999999999995</v>
      </c>
      <c r="P18" s="2">
        <v>12373061</v>
      </c>
      <c r="Q18" s="2">
        <v>254485</v>
      </c>
    </row>
    <row r="19" spans="1:17" x14ac:dyDescent="0.25">
      <c r="A19" s="1">
        <v>45720</v>
      </c>
      <c r="B19" s="1" t="str">
        <f t="shared" si="0"/>
        <v>Tuesday</v>
      </c>
      <c r="C19" s="1" t="str">
        <f t="shared" si="1"/>
        <v>Mar</v>
      </c>
      <c r="D19" s="1" t="str">
        <f t="shared" si="2"/>
        <v>Q1</v>
      </c>
      <c r="E19" s="1" t="str">
        <f t="shared" si="3"/>
        <v>2025</v>
      </c>
      <c r="F19" t="s">
        <v>13</v>
      </c>
      <c r="G19" s="2">
        <v>613.45000000000005</v>
      </c>
      <c r="H19" s="2">
        <v>629.15</v>
      </c>
      <c r="I19" s="2">
        <v>613</v>
      </c>
      <c r="J19" s="2">
        <v>621.15</v>
      </c>
      <c r="K19" s="2">
        <v>619.5</v>
      </c>
      <c r="L19" s="2">
        <v>619.20000000000005</v>
      </c>
      <c r="M19" s="2">
        <v>621.45000000000005</v>
      </c>
      <c r="N19" s="2">
        <v>1179</v>
      </c>
      <c r="O19" s="2">
        <v>606.29999999999995</v>
      </c>
      <c r="P19" s="2">
        <v>11878225</v>
      </c>
      <c r="Q19" s="2">
        <v>250241</v>
      </c>
    </row>
    <row r="20" spans="1:17" x14ac:dyDescent="0.25">
      <c r="A20" s="1">
        <v>45719</v>
      </c>
      <c r="B20" s="1" t="str">
        <f t="shared" si="0"/>
        <v>Monday</v>
      </c>
      <c r="C20" s="1" t="str">
        <f t="shared" si="1"/>
        <v>Feb</v>
      </c>
      <c r="D20" s="1" t="str">
        <f t="shared" si="2"/>
        <v>Q1</v>
      </c>
      <c r="E20" s="1" t="str">
        <f t="shared" si="3"/>
        <v>2025</v>
      </c>
      <c r="F20" t="s">
        <v>13</v>
      </c>
      <c r="G20" s="2">
        <v>620.65</v>
      </c>
      <c r="H20" s="2">
        <v>626.85</v>
      </c>
      <c r="I20" s="2">
        <v>606.29999999999995</v>
      </c>
      <c r="J20" s="2">
        <v>620.65</v>
      </c>
      <c r="K20" s="2">
        <v>621.4</v>
      </c>
      <c r="L20" s="2">
        <v>621.15</v>
      </c>
      <c r="M20" s="2">
        <v>617.79999999999995</v>
      </c>
      <c r="N20" s="2">
        <v>1179</v>
      </c>
      <c r="O20" s="2">
        <v>606.29999999999995</v>
      </c>
      <c r="P20" s="2">
        <v>18362700</v>
      </c>
      <c r="Q20" s="2">
        <v>351446</v>
      </c>
    </row>
    <row r="21" spans="1:17" x14ac:dyDescent="0.25">
      <c r="A21" s="1">
        <v>45716</v>
      </c>
      <c r="B21" s="1" t="str">
        <f t="shared" si="0"/>
        <v>Friday</v>
      </c>
      <c r="C21" s="1" t="str">
        <f t="shared" si="1"/>
        <v>Feb</v>
      </c>
      <c r="D21" s="1" t="str">
        <f t="shared" si="2"/>
        <v>Q1</v>
      </c>
      <c r="E21" s="1" t="str">
        <f t="shared" si="3"/>
        <v>2025</v>
      </c>
      <c r="F21" t="s">
        <v>13</v>
      </c>
      <c r="G21" s="2">
        <v>645</v>
      </c>
      <c r="H21" s="2">
        <v>645</v>
      </c>
      <c r="I21" s="2">
        <v>618.45000000000005</v>
      </c>
      <c r="J21" s="2">
        <v>648.54999999999995</v>
      </c>
      <c r="K21" s="2">
        <v>620.70000000000005</v>
      </c>
      <c r="L21" s="2">
        <v>620.65</v>
      </c>
      <c r="M21" s="2">
        <v>628.1</v>
      </c>
      <c r="N21" s="2">
        <v>1179</v>
      </c>
      <c r="O21" s="2">
        <v>618.45000000000005</v>
      </c>
      <c r="P21" s="2">
        <v>20477619</v>
      </c>
      <c r="Q21" s="2">
        <v>466703</v>
      </c>
    </row>
    <row r="22" spans="1:17" x14ac:dyDescent="0.25">
      <c r="A22" s="1">
        <v>45715</v>
      </c>
      <c r="B22" s="1" t="str">
        <f t="shared" si="0"/>
        <v>Thursday</v>
      </c>
      <c r="C22" s="1" t="str">
        <f t="shared" si="1"/>
        <v>Feb</v>
      </c>
      <c r="D22" s="1" t="str">
        <f t="shared" si="2"/>
        <v>Q1</v>
      </c>
      <c r="E22" s="1" t="str">
        <f t="shared" si="3"/>
        <v>2025</v>
      </c>
      <c r="F22" t="s">
        <v>13</v>
      </c>
      <c r="G22" s="2">
        <v>662</v>
      </c>
      <c r="H22" s="2">
        <v>665</v>
      </c>
      <c r="I22" s="2">
        <v>645.65</v>
      </c>
      <c r="J22" s="2">
        <v>661.6</v>
      </c>
      <c r="K22" s="2">
        <v>647.75</v>
      </c>
      <c r="L22" s="2">
        <v>648.54999999999995</v>
      </c>
      <c r="M22" s="2">
        <v>652.54</v>
      </c>
      <c r="N22" s="2">
        <v>1179</v>
      </c>
      <c r="O22" s="2">
        <v>645.65</v>
      </c>
      <c r="P22" s="2">
        <v>12281857</v>
      </c>
      <c r="Q22" s="2">
        <v>254682</v>
      </c>
    </row>
    <row r="23" spans="1:17" x14ac:dyDescent="0.25">
      <c r="A23" s="1">
        <v>45713</v>
      </c>
      <c r="B23" s="1" t="str">
        <f t="shared" si="0"/>
        <v>Tuesday</v>
      </c>
      <c r="C23" s="1" t="str">
        <f t="shared" si="1"/>
        <v>Feb</v>
      </c>
      <c r="D23" s="1" t="str">
        <f t="shared" si="2"/>
        <v>Q1</v>
      </c>
      <c r="E23" s="1" t="str">
        <f t="shared" si="3"/>
        <v>2025</v>
      </c>
      <c r="F23" t="s">
        <v>13</v>
      </c>
      <c r="G23" s="2">
        <v>667.75</v>
      </c>
      <c r="H23" s="2">
        <v>672.5</v>
      </c>
      <c r="I23" s="2">
        <v>660</v>
      </c>
      <c r="J23" s="2">
        <v>668.25</v>
      </c>
      <c r="K23" s="2">
        <v>660.3</v>
      </c>
      <c r="L23" s="2">
        <v>661.6</v>
      </c>
      <c r="M23" s="2">
        <v>665.35</v>
      </c>
      <c r="N23" s="2">
        <v>1179</v>
      </c>
      <c r="O23" s="2">
        <v>660</v>
      </c>
      <c r="P23" s="2">
        <v>10251257</v>
      </c>
      <c r="Q23" s="2">
        <v>240289</v>
      </c>
    </row>
    <row r="24" spans="1:17" x14ac:dyDescent="0.25">
      <c r="A24" s="1">
        <v>45712</v>
      </c>
      <c r="B24" s="1" t="str">
        <f t="shared" si="0"/>
        <v>Monday</v>
      </c>
      <c r="C24" s="1" t="str">
        <f t="shared" si="1"/>
        <v>Feb</v>
      </c>
      <c r="D24" s="1" t="str">
        <f t="shared" si="2"/>
        <v>Q1</v>
      </c>
      <c r="E24" s="1" t="str">
        <f t="shared" si="3"/>
        <v>2025</v>
      </c>
      <c r="F24" t="s">
        <v>13</v>
      </c>
      <c r="G24" s="2">
        <v>670</v>
      </c>
      <c r="H24" s="2">
        <v>676.6</v>
      </c>
      <c r="I24" s="2">
        <v>666</v>
      </c>
      <c r="J24" s="2">
        <v>673.2</v>
      </c>
      <c r="K24" s="2">
        <v>668.05</v>
      </c>
      <c r="L24" s="2">
        <v>668.25</v>
      </c>
      <c r="M24" s="2">
        <v>670.93</v>
      </c>
      <c r="N24" s="2">
        <v>1179</v>
      </c>
      <c r="O24" s="2">
        <v>666</v>
      </c>
      <c r="P24" s="2">
        <v>8861769</v>
      </c>
      <c r="Q24" s="2">
        <v>230767</v>
      </c>
    </row>
    <row r="25" spans="1:17" x14ac:dyDescent="0.25">
      <c r="A25" s="1">
        <v>45709</v>
      </c>
      <c r="B25" s="1" t="str">
        <f t="shared" si="0"/>
        <v>Friday</v>
      </c>
      <c r="C25" s="1" t="str">
        <f t="shared" si="1"/>
        <v>Feb</v>
      </c>
      <c r="D25" s="1" t="str">
        <f t="shared" si="2"/>
        <v>Q1</v>
      </c>
      <c r="E25" s="1" t="str">
        <f t="shared" si="3"/>
        <v>2025</v>
      </c>
      <c r="F25" t="s">
        <v>13</v>
      </c>
      <c r="G25" s="2">
        <v>686</v>
      </c>
      <c r="H25" s="2">
        <v>690</v>
      </c>
      <c r="I25" s="2">
        <v>671.1</v>
      </c>
      <c r="J25" s="2">
        <v>689.8</v>
      </c>
      <c r="K25" s="2">
        <v>672.4</v>
      </c>
      <c r="L25" s="2">
        <v>673.2</v>
      </c>
      <c r="M25" s="2">
        <v>677.59</v>
      </c>
      <c r="N25" s="2">
        <v>1179</v>
      </c>
      <c r="O25" s="2">
        <v>667.05</v>
      </c>
      <c r="P25" s="2">
        <v>14577524</v>
      </c>
      <c r="Q25" s="2">
        <v>290871</v>
      </c>
    </row>
    <row r="26" spans="1:17" x14ac:dyDescent="0.25">
      <c r="A26" s="1">
        <v>45708</v>
      </c>
      <c r="B26" s="1" t="str">
        <f t="shared" si="0"/>
        <v>Thursday</v>
      </c>
      <c r="C26" s="1" t="str">
        <f t="shared" si="1"/>
        <v>Feb</v>
      </c>
      <c r="D26" s="1" t="str">
        <f t="shared" si="2"/>
        <v>Q1</v>
      </c>
      <c r="E26" s="1" t="str">
        <f t="shared" si="3"/>
        <v>2025</v>
      </c>
      <c r="F26" t="s">
        <v>13</v>
      </c>
      <c r="G26" s="2">
        <v>680</v>
      </c>
      <c r="H26" s="2">
        <v>692.85</v>
      </c>
      <c r="I26" s="2">
        <v>675</v>
      </c>
      <c r="J26" s="2">
        <v>681</v>
      </c>
      <c r="K26" s="2">
        <v>688.4</v>
      </c>
      <c r="L26" s="2">
        <v>689.8</v>
      </c>
      <c r="M26" s="2">
        <v>686.98</v>
      </c>
      <c r="N26" s="2">
        <v>1179</v>
      </c>
      <c r="O26" s="2">
        <v>667.05</v>
      </c>
      <c r="P26" s="2">
        <v>8673335</v>
      </c>
      <c r="Q26" s="2">
        <v>189589</v>
      </c>
    </row>
    <row r="27" spans="1:17" x14ac:dyDescent="0.25">
      <c r="A27" s="1">
        <v>45707</v>
      </c>
      <c r="B27" s="1" t="str">
        <f t="shared" si="0"/>
        <v>Wednesday</v>
      </c>
      <c r="C27" s="1" t="str">
        <f t="shared" si="1"/>
        <v>Feb</v>
      </c>
      <c r="D27" s="1" t="str">
        <f t="shared" si="2"/>
        <v>Q1</v>
      </c>
      <c r="E27" s="1" t="str">
        <f t="shared" si="3"/>
        <v>2025</v>
      </c>
      <c r="F27" t="s">
        <v>13</v>
      </c>
      <c r="G27" s="2">
        <v>681.75</v>
      </c>
      <c r="H27" s="2">
        <v>690.95</v>
      </c>
      <c r="I27" s="2">
        <v>675.05</v>
      </c>
      <c r="J27" s="2">
        <v>682.4</v>
      </c>
      <c r="K27" s="2">
        <v>681</v>
      </c>
      <c r="L27" s="2">
        <v>681</v>
      </c>
      <c r="M27" s="2">
        <v>683.71</v>
      </c>
      <c r="N27" s="2">
        <v>1179</v>
      </c>
      <c r="O27" s="2">
        <v>667.05</v>
      </c>
      <c r="P27" s="2">
        <v>9986815</v>
      </c>
      <c r="Q27" s="2">
        <v>235012</v>
      </c>
    </row>
    <row r="28" spans="1:17" x14ac:dyDescent="0.25">
      <c r="A28" s="1">
        <v>45706</v>
      </c>
      <c r="B28" s="1" t="str">
        <f t="shared" si="0"/>
        <v>Tuesday</v>
      </c>
      <c r="C28" s="1" t="str">
        <f t="shared" si="1"/>
        <v>Feb</v>
      </c>
      <c r="D28" s="1" t="str">
        <f t="shared" si="2"/>
        <v>Q1</v>
      </c>
      <c r="E28" s="1" t="str">
        <f t="shared" si="3"/>
        <v>2025</v>
      </c>
      <c r="F28" t="s">
        <v>13</v>
      </c>
      <c r="G28" s="2">
        <v>686.6</v>
      </c>
      <c r="H28" s="2">
        <v>687.95</v>
      </c>
      <c r="I28" s="2">
        <v>672.15</v>
      </c>
      <c r="J28" s="2">
        <v>686.6</v>
      </c>
      <c r="K28" s="2">
        <v>682.5</v>
      </c>
      <c r="L28" s="2">
        <v>682.4</v>
      </c>
      <c r="M28" s="2">
        <v>678.83</v>
      </c>
      <c r="N28" s="2">
        <v>1179</v>
      </c>
      <c r="O28" s="2">
        <v>667.05</v>
      </c>
      <c r="P28" s="2">
        <v>7810143</v>
      </c>
      <c r="Q28" s="2">
        <v>195803</v>
      </c>
    </row>
    <row r="29" spans="1:17" x14ac:dyDescent="0.25">
      <c r="A29" s="1">
        <v>45705</v>
      </c>
      <c r="B29" s="1" t="str">
        <f t="shared" si="0"/>
        <v>Monday</v>
      </c>
      <c r="C29" s="1" t="str">
        <f t="shared" si="1"/>
        <v>Feb</v>
      </c>
      <c r="D29" s="1" t="str">
        <f t="shared" si="2"/>
        <v>Q1</v>
      </c>
      <c r="E29" s="1" t="str">
        <f t="shared" si="3"/>
        <v>2025</v>
      </c>
      <c r="F29" t="s">
        <v>13</v>
      </c>
      <c r="G29" s="2">
        <v>678</v>
      </c>
      <c r="H29" s="2">
        <v>690.7</v>
      </c>
      <c r="I29" s="2">
        <v>667.05</v>
      </c>
      <c r="J29" s="2">
        <v>680.65</v>
      </c>
      <c r="K29" s="2">
        <v>686.95</v>
      </c>
      <c r="L29" s="2">
        <v>686.6</v>
      </c>
      <c r="M29" s="2">
        <v>683.85</v>
      </c>
      <c r="N29" s="2">
        <v>1179</v>
      </c>
      <c r="O29" s="2">
        <v>667.05</v>
      </c>
      <c r="P29" s="2">
        <v>10313575</v>
      </c>
      <c r="Q29" s="2">
        <v>264623</v>
      </c>
    </row>
    <row r="30" spans="1:17" x14ac:dyDescent="0.25">
      <c r="A30" s="1">
        <v>45702</v>
      </c>
      <c r="B30" s="1" t="str">
        <f t="shared" si="0"/>
        <v>Friday</v>
      </c>
      <c r="C30" s="1" t="str">
        <f t="shared" si="1"/>
        <v>Feb</v>
      </c>
      <c r="D30" s="1" t="str">
        <f t="shared" si="2"/>
        <v>Q1</v>
      </c>
      <c r="E30" s="1" t="str">
        <f t="shared" si="3"/>
        <v>2025</v>
      </c>
      <c r="F30" t="s">
        <v>13</v>
      </c>
      <c r="G30" s="2">
        <v>685.95</v>
      </c>
      <c r="H30" s="2">
        <v>690.95</v>
      </c>
      <c r="I30" s="2">
        <v>669.15</v>
      </c>
      <c r="J30" s="2">
        <v>683.85</v>
      </c>
      <c r="K30" s="2">
        <v>678.9</v>
      </c>
      <c r="L30" s="2">
        <v>680.65</v>
      </c>
      <c r="M30" s="2">
        <v>678.82</v>
      </c>
      <c r="N30" s="2">
        <v>1179</v>
      </c>
      <c r="O30" s="2">
        <v>667.05</v>
      </c>
      <c r="P30" s="2">
        <v>9968127</v>
      </c>
      <c r="Q30" s="2">
        <v>235954</v>
      </c>
    </row>
    <row r="31" spans="1:17" x14ac:dyDescent="0.25">
      <c r="A31" s="1">
        <v>45701</v>
      </c>
      <c r="B31" s="1" t="str">
        <f t="shared" si="0"/>
        <v>Thursday</v>
      </c>
      <c r="C31" s="1" t="str">
        <f t="shared" si="1"/>
        <v>Feb</v>
      </c>
      <c r="D31" s="1" t="str">
        <f t="shared" si="2"/>
        <v>Q1</v>
      </c>
      <c r="E31" s="1" t="str">
        <f t="shared" si="3"/>
        <v>2025</v>
      </c>
      <c r="F31" t="s">
        <v>13</v>
      </c>
      <c r="G31" s="2">
        <v>684.35</v>
      </c>
      <c r="H31" s="2">
        <v>693.15</v>
      </c>
      <c r="I31" s="2">
        <v>679.35</v>
      </c>
      <c r="J31" s="2">
        <v>684.35</v>
      </c>
      <c r="K31" s="2">
        <v>683</v>
      </c>
      <c r="L31" s="2">
        <v>683.85</v>
      </c>
      <c r="M31" s="2">
        <v>686.73</v>
      </c>
      <c r="N31" s="2">
        <v>1179</v>
      </c>
      <c r="O31" s="2">
        <v>667.05</v>
      </c>
      <c r="P31" s="2">
        <v>8490769</v>
      </c>
      <c r="Q31" s="2">
        <v>205281</v>
      </c>
    </row>
    <row r="32" spans="1:17" x14ac:dyDescent="0.25">
      <c r="A32" s="1">
        <v>45700</v>
      </c>
      <c r="B32" s="1" t="str">
        <f t="shared" si="0"/>
        <v>Wednesday</v>
      </c>
      <c r="C32" s="1" t="str">
        <f t="shared" si="1"/>
        <v>Feb</v>
      </c>
      <c r="D32" s="1" t="str">
        <f t="shared" si="2"/>
        <v>Q1</v>
      </c>
      <c r="E32" s="1" t="str">
        <f t="shared" si="3"/>
        <v>2025</v>
      </c>
      <c r="F32" t="s">
        <v>13</v>
      </c>
      <c r="G32" s="2">
        <v>680</v>
      </c>
      <c r="H32" s="2">
        <v>687.55</v>
      </c>
      <c r="I32" s="2">
        <v>667.05</v>
      </c>
      <c r="J32" s="2">
        <v>677.75</v>
      </c>
      <c r="K32" s="2">
        <v>684.7</v>
      </c>
      <c r="L32" s="2">
        <v>684.35</v>
      </c>
      <c r="M32" s="2">
        <v>678.94</v>
      </c>
      <c r="N32" s="2">
        <v>1179</v>
      </c>
      <c r="O32" s="2">
        <v>667.05</v>
      </c>
      <c r="P32" s="2">
        <v>12312424</v>
      </c>
      <c r="Q32" s="2">
        <v>303029</v>
      </c>
    </row>
    <row r="33" spans="1:17" x14ac:dyDescent="0.25">
      <c r="A33" s="1">
        <v>45699</v>
      </c>
      <c r="B33" s="1" t="str">
        <f t="shared" si="0"/>
        <v>Tuesday</v>
      </c>
      <c r="C33" s="1" t="str">
        <f t="shared" si="1"/>
        <v>Feb</v>
      </c>
      <c r="D33" s="1" t="str">
        <f t="shared" si="2"/>
        <v>Q1</v>
      </c>
      <c r="E33" s="1" t="str">
        <f t="shared" si="3"/>
        <v>2025</v>
      </c>
      <c r="F33" t="s">
        <v>13</v>
      </c>
      <c r="G33" s="2">
        <v>696</v>
      </c>
      <c r="H33" s="2">
        <v>697</v>
      </c>
      <c r="I33" s="2">
        <v>675.1</v>
      </c>
      <c r="J33" s="2">
        <v>696</v>
      </c>
      <c r="K33" s="2">
        <v>677.4</v>
      </c>
      <c r="L33" s="2">
        <v>677.75</v>
      </c>
      <c r="M33" s="2">
        <v>682.24</v>
      </c>
      <c r="N33" s="2">
        <v>1179</v>
      </c>
      <c r="O33" s="2">
        <v>675.1</v>
      </c>
      <c r="P33" s="2">
        <v>11939990</v>
      </c>
      <c r="Q33" s="2">
        <v>380683</v>
      </c>
    </row>
    <row r="34" spans="1:17" x14ac:dyDescent="0.25">
      <c r="A34" s="1">
        <v>45698</v>
      </c>
      <c r="B34" s="1" t="str">
        <f t="shared" si="0"/>
        <v>Monday</v>
      </c>
      <c r="C34" s="1" t="str">
        <f t="shared" si="1"/>
        <v>Feb</v>
      </c>
      <c r="D34" s="1" t="str">
        <f t="shared" si="2"/>
        <v>Q1</v>
      </c>
      <c r="E34" s="1" t="str">
        <f t="shared" si="3"/>
        <v>2025</v>
      </c>
      <c r="F34" t="s">
        <v>13</v>
      </c>
      <c r="G34" s="2">
        <v>709.75</v>
      </c>
      <c r="H34" s="2">
        <v>709.9</v>
      </c>
      <c r="I34" s="2">
        <v>693.05</v>
      </c>
      <c r="J34" s="2">
        <v>706.75</v>
      </c>
      <c r="K34" s="2">
        <v>695.6</v>
      </c>
      <c r="L34" s="2">
        <v>696</v>
      </c>
      <c r="M34" s="2">
        <v>697.76</v>
      </c>
      <c r="N34" s="2">
        <v>1179</v>
      </c>
      <c r="O34" s="2">
        <v>683.2</v>
      </c>
      <c r="P34" s="2">
        <v>10981963</v>
      </c>
      <c r="Q34" s="2">
        <v>238395</v>
      </c>
    </row>
    <row r="35" spans="1:17" x14ac:dyDescent="0.25">
      <c r="A35" s="1">
        <v>45695</v>
      </c>
      <c r="B35" s="1" t="str">
        <f t="shared" si="0"/>
        <v>Friday</v>
      </c>
      <c r="C35" s="1" t="str">
        <f t="shared" si="1"/>
        <v>Feb</v>
      </c>
      <c r="D35" s="1" t="str">
        <f t="shared" si="2"/>
        <v>Q1</v>
      </c>
      <c r="E35" s="1" t="str">
        <f t="shared" si="3"/>
        <v>2025</v>
      </c>
      <c r="F35" t="s">
        <v>13</v>
      </c>
      <c r="G35" s="2">
        <v>711</v>
      </c>
      <c r="H35" s="2">
        <v>715.95</v>
      </c>
      <c r="I35" s="2">
        <v>703.1</v>
      </c>
      <c r="J35" s="2">
        <v>709.65</v>
      </c>
      <c r="K35" s="2">
        <v>706.75</v>
      </c>
      <c r="L35" s="2">
        <v>706.75</v>
      </c>
      <c r="M35" s="2">
        <v>709.53</v>
      </c>
      <c r="N35" s="2">
        <v>1179</v>
      </c>
      <c r="O35" s="2">
        <v>683.2</v>
      </c>
      <c r="P35" s="2">
        <v>12259132</v>
      </c>
      <c r="Q35" s="2">
        <v>268831</v>
      </c>
    </row>
    <row r="36" spans="1:17" x14ac:dyDescent="0.25">
      <c r="A36" s="1">
        <v>45694</v>
      </c>
      <c r="B36" s="1" t="str">
        <f t="shared" si="0"/>
        <v>Thursday</v>
      </c>
      <c r="C36" s="1" t="str">
        <f t="shared" si="1"/>
        <v>Feb</v>
      </c>
      <c r="D36" s="1" t="str">
        <f t="shared" si="2"/>
        <v>Q1</v>
      </c>
      <c r="E36" s="1" t="str">
        <f t="shared" si="3"/>
        <v>2025</v>
      </c>
      <c r="F36" t="s">
        <v>13</v>
      </c>
      <c r="G36" s="2">
        <v>723</v>
      </c>
      <c r="H36" s="2">
        <v>723.4</v>
      </c>
      <c r="I36" s="2">
        <v>708.15</v>
      </c>
      <c r="J36" s="2">
        <v>717.05</v>
      </c>
      <c r="K36" s="2">
        <v>710.9</v>
      </c>
      <c r="L36" s="2">
        <v>709.65</v>
      </c>
      <c r="M36" s="2">
        <v>713.94</v>
      </c>
      <c r="N36" s="2">
        <v>1179</v>
      </c>
      <c r="O36" s="2">
        <v>683.2</v>
      </c>
      <c r="P36" s="2">
        <v>10016927</v>
      </c>
      <c r="Q36" s="2">
        <v>191132</v>
      </c>
    </row>
    <row r="37" spans="1:17" x14ac:dyDescent="0.25">
      <c r="A37" s="1">
        <v>45693</v>
      </c>
      <c r="B37" s="1" t="str">
        <f t="shared" si="0"/>
        <v>Wednesday</v>
      </c>
      <c r="C37" s="1" t="str">
        <f t="shared" si="1"/>
        <v>Feb</v>
      </c>
      <c r="D37" s="1" t="str">
        <f t="shared" si="2"/>
        <v>Q1</v>
      </c>
      <c r="E37" s="1" t="str">
        <f t="shared" si="3"/>
        <v>2025</v>
      </c>
      <c r="F37" t="s">
        <v>13</v>
      </c>
      <c r="G37" s="2">
        <v>711</v>
      </c>
      <c r="H37" s="2">
        <v>725.45</v>
      </c>
      <c r="I37" s="2">
        <v>710.7</v>
      </c>
      <c r="J37" s="2">
        <v>710.55</v>
      </c>
      <c r="K37" s="2">
        <v>716.95</v>
      </c>
      <c r="L37" s="2">
        <v>717.05</v>
      </c>
      <c r="M37" s="2">
        <v>719.3</v>
      </c>
      <c r="N37" s="2">
        <v>1179</v>
      </c>
      <c r="O37" s="2">
        <v>683.2</v>
      </c>
      <c r="P37" s="2">
        <v>12907325</v>
      </c>
      <c r="Q37" s="2">
        <v>241395</v>
      </c>
    </row>
    <row r="38" spans="1:17" x14ac:dyDescent="0.25">
      <c r="A38" s="1">
        <v>45692</v>
      </c>
      <c r="B38" s="1" t="str">
        <f t="shared" si="0"/>
        <v>Tuesday</v>
      </c>
      <c r="C38" s="1" t="str">
        <f t="shared" si="1"/>
        <v>Feb</v>
      </c>
      <c r="D38" s="1" t="str">
        <f t="shared" si="2"/>
        <v>Q1</v>
      </c>
      <c r="E38" s="1" t="str">
        <f t="shared" si="3"/>
        <v>2025</v>
      </c>
      <c r="F38" t="s">
        <v>13</v>
      </c>
      <c r="G38" s="2">
        <v>696.3</v>
      </c>
      <c r="H38" s="2">
        <v>713.35</v>
      </c>
      <c r="I38" s="2">
        <v>693.75</v>
      </c>
      <c r="J38" s="2">
        <v>687.45</v>
      </c>
      <c r="K38" s="2">
        <v>709.55</v>
      </c>
      <c r="L38" s="2">
        <v>710.55</v>
      </c>
      <c r="M38" s="2">
        <v>706.45</v>
      </c>
      <c r="N38" s="2">
        <v>1179</v>
      </c>
      <c r="O38" s="2">
        <v>683.2</v>
      </c>
      <c r="P38" s="2">
        <v>16792005</v>
      </c>
      <c r="Q38" s="2">
        <v>292952</v>
      </c>
    </row>
    <row r="39" spans="1:17" x14ac:dyDescent="0.25">
      <c r="A39" s="1">
        <v>45691</v>
      </c>
      <c r="B39" s="1" t="str">
        <f t="shared" si="0"/>
        <v>Monday</v>
      </c>
      <c r="C39" s="1" t="str">
        <f t="shared" si="1"/>
        <v>Feb</v>
      </c>
      <c r="D39" s="1" t="str">
        <f t="shared" si="2"/>
        <v>Q1</v>
      </c>
      <c r="E39" s="1" t="str">
        <f t="shared" si="3"/>
        <v>2025</v>
      </c>
      <c r="F39" t="s">
        <v>13</v>
      </c>
      <c r="G39" s="2">
        <v>700</v>
      </c>
      <c r="H39" s="2">
        <v>700</v>
      </c>
      <c r="I39" s="2">
        <v>686</v>
      </c>
      <c r="J39" s="2">
        <v>706.55</v>
      </c>
      <c r="K39" s="2">
        <v>687.65</v>
      </c>
      <c r="L39" s="2">
        <v>687.45</v>
      </c>
      <c r="M39" s="2">
        <v>689.57</v>
      </c>
      <c r="N39" s="2">
        <v>1179</v>
      </c>
      <c r="O39" s="2">
        <v>683.2</v>
      </c>
      <c r="P39" s="2">
        <v>17806760</v>
      </c>
      <c r="Q39" s="2">
        <v>494904</v>
      </c>
    </row>
    <row r="40" spans="1:17" x14ac:dyDescent="0.25">
      <c r="A40" s="1">
        <v>45689</v>
      </c>
      <c r="B40" s="1" t="str">
        <f t="shared" si="0"/>
        <v>Saturday</v>
      </c>
      <c r="C40" s="1" t="str">
        <f t="shared" si="1"/>
        <v>Jan</v>
      </c>
      <c r="D40" s="1" t="str">
        <f t="shared" si="2"/>
        <v>Q1</v>
      </c>
      <c r="E40" s="1" t="str">
        <f t="shared" si="3"/>
        <v>2025</v>
      </c>
      <c r="F40" t="s">
        <v>13</v>
      </c>
      <c r="G40" s="2">
        <v>719.5</v>
      </c>
      <c r="H40" s="2">
        <v>724.75</v>
      </c>
      <c r="I40" s="2">
        <v>700.9</v>
      </c>
      <c r="J40" s="2">
        <v>716.1</v>
      </c>
      <c r="K40" s="2">
        <v>705.9</v>
      </c>
      <c r="L40" s="2">
        <v>706.55</v>
      </c>
      <c r="M40" s="2">
        <v>711.99</v>
      </c>
      <c r="N40" s="2">
        <v>1179</v>
      </c>
      <c r="O40" s="2">
        <v>683.2</v>
      </c>
      <c r="P40" s="2">
        <v>14087493</v>
      </c>
      <c r="Q40" s="2">
        <v>297568</v>
      </c>
    </row>
    <row r="41" spans="1:17" x14ac:dyDescent="0.25">
      <c r="A41" s="1">
        <v>45688</v>
      </c>
      <c r="B41" s="1" t="str">
        <f t="shared" si="0"/>
        <v>Friday</v>
      </c>
      <c r="C41" s="1" t="str">
        <f t="shared" si="1"/>
        <v>Jan</v>
      </c>
      <c r="D41" s="1" t="str">
        <f t="shared" si="2"/>
        <v>Q1</v>
      </c>
      <c r="E41" s="1" t="str">
        <f t="shared" si="3"/>
        <v>2025</v>
      </c>
      <c r="F41" t="s">
        <v>13</v>
      </c>
      <c r="G41" s="2">
        <v>706</v>
      </c>
      <c r="H41" s="2">
        <v>717</v>
      </c>
      <c r="I41" s="2">
        <v>696.45</v>
      </c>
      <c r="J41" s="2">
        <v>696.85</v>
      </c>
      <c r="K41" s="2">
        <v>715.7</v>
      </c>
      <c r="L41" s="2">
        <v>716.1</v>
      </c>
      <c r="M41" s="2">
        <v>707.31</v>
      </c>
      <c r="N41" s="2">
        <v>1179</v>
      </c>
      <c r="O41" s="2">
        <v>683.2</v>
      </c>
      <c r="P41" s="2">
        <v>19157717</v>
      </c>
      <c r="Q41" s="2">
        <v>340074</v>
      </c>
    </row>
    <row r="42" spans="1:17" x14ac:dyDescent="0.25">
      <c r="A42" s="1">
        <v>45687</v>
      </c>
      <c r="B42" s="1" t="str">
        <f t="shared" si="0"/>
        <v>Thursday</v>
      </c>
      <c r="C42" s="1" t="str">
        <f t="shared" si="1"/>
        <v>Jan</v>
      </c>
      <c r="D42" s="1" t="str">
        <f t="shared" si="2"/>
        <v>Q1</v>
      </c>
      <c r="E42" s="1" t="str">
        <f t="shared" si="3"/>
        <v>2025</v>
      </c>
      <c r="F42" t="s">
        <v>13</v>
      </c>
      <c r="G42" s="2">
        <v>709</v>
      </c>
      <c r="H42" s="2">
        <v>710.7</v>
      </c>
      <c r="I42" s="2">
        <v>683.2</v>
      </c>
      <c r="J42" s="2">
        <v>752.5</v>
      </c>
      <c r="K42" s="2">
        <v>699.95</v>
      </c>
      <c r="L42" s="2">
        <v>696.85</v>
      </c>
      <c r="M42" s="2">
        <v>698.51</v>
      </c>
      <c r="N42" s="2">
        <v>1179</v>
      </c>
      <c r="O42" s="2">
        <v>683.2</v>
      </c>
      <c r="P42" s="2">
        <v>59390998</v>
      </c>
      <c r="Q42" s="2">
        <v>1094810</v>
      </c>
    </row>
    <row r="43" spans="1:17" x14ac:dyDescent="0.25">
      <c r="A43" s="1">
        <v>45686</v>
      </c>
      <c r="B43" s="1" t="str">
        <f t="shared" si="0"/>
        <v>Wednesday</v>
      </c>
      <c r="C43" s="1" t="str">
        <f t="shared" si="1"/>
        <v>Jan</v>
      </c>
      <c r="D43" s="1" t="str">
        <f t="shared" si="2"/>
        <v>Q1</v>
      </c>
      <c r="E43" s="1" t="str">
        <f t="shared" si="3"/>
        <v>2025</v>
      </c>
      <c r="F43" t="s">
        <v>13</v>
      </c>
      <c r="G43" s="2">
        <v>731.5</v>
      </c>
      <c r="H43" s="2">
        <v>755</v>
      </c>
      <c r="I43" s="2">
        <v>726.55</v>
      </c>
      <c r="J43" s="2">
        <v>728.25</v>
      </c>
      <c r="K43" s="2">
        <v>754.8</v>
      </c>
      <c r="L43" s="2">
        <v>752.5</v>
      </c>
      <c r="M43" s="2">
        <v>742.52</v>
      </c>
      <c r="N43" s="2">
        <v>1179</v>
      </c>
      <c r="O43" s="2">
        <v>707.5</v>
      </c>
      <c r="P43" s="2">
        <v>12461404</v>
      </c>
      <c r="Q43" s="2">
        <v>262830</v>
      </c>
    </row>
    <row r="44" spans="1:17" x14ac:dyDescent="0.25">
      <c r="A44" s="1">
        <v>45685</v>
      </c>
      <c r="B44" s="1" t="str">
        <f t="shared" si="0"/>
        <v>Tuesday</v>
      </c>
      <c r="C44" s="1" t="str">
        <f t="shared" si="1"/>
        <v>Jan</v>
      </c>
      <c r="D44" s="1" t="str">
        <f t="shared" si="2"/>
        <v>Q1</v>
      </c>
      <c r="E44" s="1" t="str">
        <f t="shared" si="3"/>
        <v>2025</v>
      </c>
      <c r="F44" t="s">
        <v>13</v>
      </c>
      <c r="G44" s="2">
        <v>716.5</v>
      </c>
      <c r="H44" s="2">
        <v>740.85</v>
      </c>
      <c r="I44" s="2">
        <v>707.5</v>
      </c>
      <c r="J44" s="2">
        <v>713.05</v>
      </c>
      <c r="K44" s="2">
        <v>731.9</v>
      </c>
      <c r="L44" s="2">
        <v>728.25</v>
      </c>
      <c r="M44" s="2">
        <v>724.61</v>
      </c>
      <c r="N44" s="2">
        <v>1179</v>
      </c>
      <c r="O44" s="2">
        <v>707.5</v>
      </c>
      <c r="P44" s="2">
        <v>16104653</v>
      </c>
      <c r="Q44" s="2">
        <v>320748</v>
      </c>
    </row>
    <row r="45" spans="1:17" x14ac:dyDescent="0.25">
      <c r="A45" s="1">
        <v>45684</v>
      </c>
      <c r="B45" s="1" t="str">
        <f t="shared" si="0"/>
        <v>Monday</v>
      </c>
      <c r="C45" s="1" t="str">
        <f t="shared" si="1"/>
        <v>Jan</v>
      </c>
      <c r="D45" s="1" t="str">
        <f t="shared" si="2"/>
        <v>Q1</v>
      </c>
      <c r="E45" s="1" t="str">
        <f t="shared" si="3"/>
        <v>2025</v>
      </c>
      <c r="F45" t="s">
        <v>13</v>
      </c>
      <c r="G45" s="2">
        <v>732.95</v>
      </c>
      <c r="H45" s="2">
        <v>732.95</v>
      </c>
      <c r="I45" s="2">
        <v>709.3</v>
      </c>
      <c r="J45" s="2">
        <v>734.1</v>
      </c>
      <c r="K45" s="2">
        <v>713</v>
      </c>
      <c r="L45" s="2">
        <v>713.05</v>
      </c>
      <c r="M45" s="2">
        <v>718.46</v>
      </c>
      <c r="N45" s="2">
        <v>1179</v>
      </c>
      <c r="O45" s="2">
        <v>709.3</v>
      </c>
      <c r="P45" s="2">
        <v>14123990</v>
      </c>
      <c r="Q45" s="2">
        <v>335720</v>
      </c>
    </row>
    <row r="46" spans="1:17" x14ac:dyDescent="0.25">
      <c r="A46" s="1">
        <v>45681</v>
      </c>
      <c r="B46" s="1" t="str">
        <f t="shared" si="0"/>
        <v>Friday</v>
      </c>
      <c r="C46" s="1" t="str">
        <f t="shared" si="1"/>
        <v>Jan</v>
      </c>
      <c r="D46" s="1" t="str">
        <f t="shared" si="2"/>
        <v>Q1</v>
      </c>
      <c r="E46" s="1" t="str">
        <f t="shared" si="3"/>
        <v>2025</v>
      </c>
      <c r="F46" t="s">
        <v>13</v>
      </c>
      <c r="G46" s="2">
        <v>750.05</v>
      </c>
      <c r="H46" s="2">
        <v>754.15</v>
      </c>
      <c r="I46" s="2">
        <v>732.2</v>
      </c>
      <c r="J46" s="2">
        <v>752.5</v>
      </c>
      <c r="K46" s="2">
        <v>733.4</v>
      </c>
      <c r="L46" s="2">
        <v>734.1</v>
      </c>
      <c r="M46" s="2">
        <v>740.71</v>
      </c>
      <c r="N46" s="2">
        <v>1179</v>
      </c>
      <c r="O46" s="2">
        <v>717.7</v>
      </c>
      <c r="P46" s="2">
        <v>9513166</v>
      </c>
      <c r="Q46" s="2">
        <v>211930</v>
      </c>
    </row>
    <row r="47" spans="1:17" x14ac:dyDescent="0.25">
      <c r="A47" s="1">
        <v>45680</v>
      </c>
      <c r="B47" s="1" t="str">
        <f t="shared" si="0"/>
        <v>Thursday</v>
      </c>
      <c r="C47" s="1" t="str">
        <f t="shared" si="1"/>
        <v>Jan</v>
      </c>
      <c r="D47" s="1" t="str">
        <f t="shared" si="2"/>
        <v>Q1</v>
      </c>
      <c r="E47" s="1" t="str">
        <f t="shared" si="3"/>
        <v>2025</v>
      </c>
      <c r="F47" t="s">
        <v>13</v>
      </c>
      <c r="G47" s="2">
        <v>742.75</v>
      </c>
      <c r="H47" s="2">
        <v>759.7</v>
      </c>
      <c r="I47" s="2">
        <v>739.8</v>
      </c>
      <c r="J47" s="2">
        <v>742.75</v>
      </c>
      <c r="K47" s="2">
        <v>753</v>
      </c>
      <c r="L47" s="2">
        <v>752.5</v>
      </c>
      <c r="M47" s="2">
        <v>751.71</v>
      </c>
      <c r="N47" s="2">
        <v>1179</v>
      </c>
      <c r="O47" s="2">
        <v>717.7</v>
      </c>
      <c r="P47" s="2">
        <v>7916689</v>
      </c>
      <c r="Q47" s="2">
        <v>202401</v>
      </c>
    </row>
    <row r="48" spans="1:17" x14ac:dyDescent="0.25">
      <c r="A48" s="1">
        <v>45679</v>
      </c>
      <c r="B48" s="1" t="str">
        <f t="shared" si="0"/>
        <v>Wednesday</v>
      </c>
      <c r="C48" s="1" t="str">
        <f t="shared" si="1"/>
        <v>Jan</v>
      </c>
      <c r="D48" s="1" t="str">
        <f t="shared" si="2"/>
        <v>Q1</v>
      </c>
      <c r="E48" s="1" t="str">
        <f t="shared" si="3"/>
        <v>2025</v>
      </c>
      <c r="F48" t="s">
        <v>13</v>
      </c>
      <c r="G48" s="2">
        <v>764.15</v>
      </c>
      <c r="H48" s="2">
        <v>765.45</v>
      </c>
      <c r="I48" s="2">
        <v>731</v>
      </c>
      <c r="J48" s="2">
        <v>760.75</v>
      </c>
      <c r="K48" s="2">
        <v>744.35</v>
      </c>
      <c r="L48" s="2">
        <v>742.75</v>
      </c>
      <c r="M48" s="2">
        <v>742.63</v>
      </c>
      <c r="N48" s="2">
        <v>1179</v>
      </c>
      <c r="O48" s="2">
        <v>717.7</v>
      </c>
      <c r="P48" s="2">
        <v>12418474</v>
      </c>
      <c r="Q48" s="2">
        <v>357913</v>
      </c>
    </row>
    <row r="49" spans="1:17" x14ac:dyDescent="0.25">
      <c r="A49" s="1">
        <v>45678</v>
      </c>
      <c r="B49" s="1" t="str">
        <f t="shared" si="0"/>
        <v>Tuesday</v>
      </c>
      <c r="C49" s="1" t="str">
        <f t="shared" si="1"/>
        <v>Jan</v>
      </c>
      <c r="D49" s="1" t="str">
        <f t="shared" si="2"/>
        <v>Q1</v>
      </c>
      <c r="E49" s="1" t="str">
        <f t="shared" si="3"/>
        <v>2025</v>
      </c>
      <c r="F49" t="s">
        <v>13</v>
      </c>
      <c r="G49" s="2">
        <v>775</v>
      </c>
      <c r="H49" s="2">
        <v>786.65</v>
      </c>
      <c r="I49" s="2">
        <v>758.4</v>
      </c>
      <c r="J49" s="2">
        <v>774.35</v>
      </c>
      <c r="K49" s="2">
        <v>761</v>
      </c>
      <c r="L49" s="2">
        <v>760.75</v>
      </c>
      <c r="M49" s="2">
        <v>770.74</v>
      </c>
      <c r="N49" s="2">
        <v>1179</v>
      </c>
      <c r="O49" s="2">
        <v>717.7</v>
      </c>
      <c r="P49" s="2">
        <v>11657178</v>
      </c>
      <c r="Q49" s="2">
        <v>285590</v>
      </c>
    </row>
    <row r="50" spans="1:17" x14ac:dyDescent="0.25">
      <c r="A50" s="1">
        <v>45677</v>
      </c>
      <c r="B50" s="1" t="str">
        <f t="shared" si="0"/>
        <v>Monday</v>
      </c>
      <c r="C50" s="1" t="str">
        <f t="shared" si="1"/>
        <v>Jan</v>
      </c>
      <c r="D50" s="1" t="str">
        <f t="shared" si="2"/>
        <v>Q1</v>
      </c>
      <c r="E50" s="1" t="str">
        <f t="shared" si="3"/>
        <v>2025</v>
      </c>
      <c r="F50" t="s">
        <v>13</v>
      </c>
      <c r="G50" s="2">
        <v>780</v>
      </c>
      <c r="H50" s="2">
        <v>783</v>
      </c>
      <c r="I50" s="2">
        <v>767</v>
      </c>
      <c r="J50" s="2">
        <v>779.75</v>
      </c>
      <c r="K50" s="2">
        <v>773.95</v>
      </c>
      <c r="L50" s="2">
        <v>774.35</v>
      </c>
      <c r="M50" s="2">
        <v>774.11</v>
      </c>
      <c r="N50" s="2">
        <v>1179</v>
      </c>
      <c r="O50" s="2">
        <v>717.7</v>
      </c>
      <c r="P50" s="2">
        <v>9956101</v>
      </c>
      <c r="Q50" s="2">
        <v>179913</v>
      </c>
    </row>
    <row r="51" spans="1:17" x14ac:dyDescent="0.25">
      <c r="A51" s="1">
        <v>45674</v>
      </c>
      <c r="B51" s="1" t="str">
        <f t="shared" si="0"/>
        <v>Friday</v>
      </c>
      <c r="C51" s="1" t="str">
        <f t="shared" si="1"/>
        <v>Jan</v>
      </c>
      <c r="D51" s="1" t="str">
        <f t="shared" si="2"/>
        <v>Q1</v>
      </c>
      <c r="E51" s="1" t="str">
        <f t="shared" si="3"/>
        <v>2025</v>
      </c>
      <c r="F51" t="s">
        <v>13</v>
      </c>
      <c r="G51" s="2">
        <v>773.9</v>
      </c>
      <c r="H51" s="2">
        <v>785.5</v>
      </c>
      <c r="I51" s="2">
        <v>772.25</v>
      </c>
      <c r="J51" s="2">
        <v>774.35</v>
      </c>
      <c r="K51" s="2">
        <v>779.9</v>
      </c>
      <c r="L51" s="2">
        <v>779.75</v>
      </c>
      <c r="M51" s="2">
        <v>779.92</v>
      </c>
      <c r="N51" s="2">
        <v>1179</v>
      </c>
      <c r="O51" s="2">
        <v>717.7</v>
      </c>
      <c r="P51" s="2">
        <v>7007239</v>
      </c>
      <c r="Q51" s="2">
        <v>146024</v>
      </c>
    </row>
    <row r="52" spans="1:17" x14ac:dyDescent="0.25">
      <c r="A52" s="1">
        <v>45673</v>
      </c>
      <c r="B52" s="1" t="str">
        <f t="shared" si="0"/>
        <v>Thursday</v>
      </c>
      <c r="C52" s="1" t="str">
        <f t="shared" si="1"/>
        <v>Jan</v>
      </c>
      <c r="D52" s="1" t="str">
        <f t="shared" si="2"/>
        <v>Q1</v>
      </c>
      <c r="E52" s="1" t="str">
        <f t="shared" si="3"/>
        <v>2025</v>
      </c>
      <c r="F52" t="s">
        <v>13</v>
      </c>
      <c r="G52" s="2">
        <v>769.9</v>
      </c>
      <c r="H52" s="2">
        <v>781</v>
      </c>
      <c r="I52" s="2">
        <v>767.35</v>
      </c>
      <c r="J52" s="2">
        <v>763.6</v>
      </c>
      <c r="K52" s="2">
        <v>775.45</v>
      </c>
      <c r="L52" s="2">
        <v>774.35</v>
      </c>
      <c r="M52" s="2">
        <v>775.08</v>
      </c>
      <c r="N52" s="2">
        <v>1179</v>
      </c>
      <c r="O52" s="2">
        <v>717.7</v>
      </c>
      <c r="P52" s="2">
        <v>8680163</v>
      </c>
      <c r="Q52" s="2">
        <v>191171</v>
      </c>
    </row>
    <row r="53" spans="1:17" x14ac:dyDescent="0.25">
      <c r="A53" s="1">
        <v>45672</v>
      </c>
      <c r="B53" s="1" t="str">
        <f t="shared" si="0"/>
        <v>Wednesday</v>
      </c>
      <c r="C53" s="1" t="str">
        <f t="shared" si="1"/>
        <v>Jan</v>
      </c>
      <c r="D53" s="1" t="str">
        <f t="shared" si="2"/>
        <v>Q1</v>
      </c>
      <c r="E53" s="1" t="str">
        <f t="shared" si="3"/>
        <v>2025</v>
      </c>
      <c r="F53" t="s">
        <v>13</v>
      </c>
      <c r="G53" s="2">
        <v>771</v>
      </c>
      <c r="H53" s="2">
        <v>785</v>
      </c>
      <c r="I53" s="2">
        <v>756.05</v>
      </c>
      <c r="J53" s="2">
        <v>770.5</v>
      </c>
      <c r="K53" s="2">
        <v>763</v>
      </c>
      <c r="L53" s="2">
        <v>763.6</v>
      </c>
      <c r="M53" s="2">
        <v>766.16</v>
      </c>
      <c r="N53" s="2">
        <v>1179</v>
      </c>
      <c r="O53" s="2">
        <v>717.7</v>
      </c>
      <c r="P53" s="2">
        <v>10500910</v>
      </c>
      <c r="Q53" s="2">
        <v>249215</v>
      </c>
    </row>
    <row r="54" spans="1:17" x14ac:dyDescent="0.25">
      <c r="A54" s="1">
        <v>45671</v>
      </c>
      <c r="B54" s="1" t="str">
        <f t="shared" si="0"/>
        <v>Tuesday</v>
      </c>
      <c r="C54" s="1" t="str">
        <f t="shared" si="1"/>
        <v>Jan</v>
      </c>
      <c r="D54" s="1" t="str">
        <f t="shared" si="2"/>
        <v>Q1</v>
      </c>
      <c r="E54" s="1" t="str">
        <f t="shared" si="3"/>
        <v>2025</v>
      </c>
      <c r="F54" t="s">
        <v>13</v>
      </c>
      <c r="G54" s="2">
        <v>751.5</v>
      </c>
      <c r="H54" s="2">
        <v>779</v>
      </c>
      <c r="I54" s="2">
        <v>751.5</v>
      </c>
      <c r="J54" s="2">
        <v>751</v>
      </c>
      <c r="K54" s="2">
        <v>772.3</v>
      </c>
      <c r="L54" s="2">
        <v>770.5</v>
      </c>
      <c r="M54" s="2">
        <v>772.37</v>
      </c>
      <c r="N54" s="2">
        <v>1179</v>
      </c>
      <c r="O54" s="2">
        <v>717.7</v>
      </c>
      <c r="P54" s="2">
        <v>11377053</v>
      </c>
      <c r="Q54" s="2">
        <v>277895</v>
      </c>
    </row>
    <row r="55" spans="1:17" x14ac:dyDescent="0.25">
      <c r="A55" s="1">
        <v>45670</v>
      </c>
      <c r="B55" s="1" t="str">
        <f t="shared" si="0"/>
        <v>Monday</v>
      </c>
      <c r="C55" s="1" t="str">
        <f t="shared" si="1"/>
        <v>Jan</v>
      </c>
      <c r="D55" s="1" t="str">
        <f t="shared" si="2"/>
        <v>Q1</v>
      </c>
      <c r="E55" s="1" t="str">
        <f t="shared" si="3"/>
        <v>2025</v>
      </c>
      <c r="F55" t="s">
        <v>13</v>
      </c>
      <c r="G55" s="2">
        <v>769</v>
      </c>
      <c r="H55" s="2">
        <v>773.55</v>
      </c>
      <c r="I55" s="2">
        <v>748.8</v>
      </c>
      <c r="J55" s="2">
        <v>774.65</v>
      </c>
      <c r="K55" s="2">
        <v>750.6</v>
      </c>
      <c r="L55" s="2">
        <v>751</v>
      </c>
      <c r="M55" s="2">
        <v>760.91</v>
      </c>
      <c r="N55" s="2">
        <v>1179</v>
      </c>
      <c r="O55" s="2">
        <v>717.7</v>
      </c>
      <c r="P55" s="2">
        <v>12230175</v>
      </c>
      <c r="Q55" s="2">
        <v>305264</v>
      </c>
    </row>
    <row r="56" spans="1:17" x14ac:dyDescent="0.25">
      <c r="A56" s="1">
        <v>45667</v>
      </c>
      <c r="B56" s="1" t="str">
        <f t="shared" si="0"/>
        <v>Friday</v>
      </c>
      <c r="C56" s="1" t="str">
        <f t="shared" si="1"/>
        <v>Jan</v>
      </c>
      <c r="D56" s="1" t="str">
        <f t="shared" si="2"/>
        <v>Q1</v>
      </c>
      <c r="E56" s="1" t="str">
        <f t="shared" si="3"/>
        <v>2025</v>
      </c>
      <c r="F56" t="s">
        <v>13</v>
      </c>
      <c r="G56" s="2">
        <v>780.05</v>
      </c>
      <c r="H56" s="2">
        <v>787.95</v>
      </c>
      <c r="I56" s="2">
        <v>766.8</v>
      </c>
      <c r="J56" s="2">
        <v>780.1</v>
      </c>
      <c r="K56" s="2">
        <v>776.5</v>
      </c>
      <c r="L56" s="2">
        <v>774.65</v>
      </c>
      <c r="M56" s="2">
        <v>778.29</v>
      </c>
      <c r="N56" s="2">
        <v>1179</v>
      </c>
      <c r="O56" s="2">
        <v>717.7</v>
      </c>
      <c r="P56" s="2">
        <v>11144005</v>
      </c>
      <c r="Q56" s="2">
        <v>274052</v>
      </c>
    </row>
    <row r="57" spans="1:17" x14ac:dyDescent="0.25">
      <c r="A57" s="1">
        <v>45666</v>
      </c>
      <c r="B57" s="1" t="str">
        <f t="shared" si="0"/>
        <v>Thursday</v>
      </c>
      <c r="C57" s="1" t="str">
        <f t="shared" si="1"/>
        <v>Jan</v>
      </c>
      <c r="D57" s="1" t="str">
        <f t="shared" si="2"/>
        <v>Q1</v>
      </c>
      <c r="E57" s="1" t="str">
        <f t="shared" si="3"/>
        <v>2025</v>
      </c>
      <c r="F57" t="s">
        <v>13</v>
      </c>
      <c r="G57" s="2">
        <v>800</v>
      </c>
      <c r="H57" s="2">
        <v>810</v>
      </c>
      <c r="I57" s="2">
        <v>769.45</v>
      </c>
      <c r="J57" s="2">
        <v>794.95</v>
      </c>
      <c r="K57" s="2">
        <v>781.4</v>
      </c>
      <c r="L57" s="2">
        <v>780.1</v>
      </c>
      <c r="M57" s="2">
        <v>784.85</v>
      </c>
      <c r="N57" s="2">
        <v>1179</v>
      </c>
      <c r="O57" s="2">
        <v>717.7</v>
      </c>
      <c r="P57" s="2">
        <v>17948464</v>
      </c>
      <c r="Q57" s="2">
        <v>366805</v>
      </c>
    </row>
    <row r="58" spans="1:17" x14ac:dyDescent="0.25">
      <c r="A58" s="1">
        <v>45665</v>
      </c>
      <c r="B58" s="1" t="str">
        <f t="shared" si="0"/>
        <v>Wednesday</v>
      </c>
      <c r="C58" s="1" t="str">
        <f t="shared" si="1"/>
        <v>Jan</v>
      </c>
      <c r="D58" s="1" t="str">
        <f t="shared" si="2"/>
        <v>Q1</v>
      </c>
      <c r="E58" s="1" t="str">
        <f t="shared" si="3"/>
        <v>2025</v>
      </c>
      <c r="F58" t="s">
        <v>13</v>
      </c>
      <c r="G58" s="2">
        <v>792.6</v>
      </c>
      <c r="H58" s="2">
        <v>797</v>
      </c>
      <c r="I58" s="2">
        <v>781.65</v>
      </c>
      <c r="J58" s="2">
        <v>793.25</v>
      </c>
      <c r="K58" s="2">
        <v>795.5</v>
      </c>
      <c r="L58" s="2">
        <v>794.95</v>
      </c>
      <c r="M58" s="2">
        <v>789.86</v>
      </c>
      <c r="N58" s="2">
        <v>1179</v>
      </c>
      <c r="O58" s="2">
        <v>717.7</v>
      </c>
      <c r="P58" s="2">
        <v>11861066</v>
      </c>
      <c r="Q58" s="2">
        <v>255679</v>
      </c>
    </row>
    <row r="59" spans="1:17" x14ac:dyDescent="0.25">
      <c r="A59" s="1">
        <v>45664</v>
      </c>
      <c r="B59" s="1" t="str">
        <f t="shared" si="0"/>
        <v>Tuesday</v>
      </c>
      <c r="C59" s="1" t="str">
        <f t="shared" si="1"/>
        <v>Jan</v>
      </c>
      <c r="D59" s="1" t="str">
        <f t="shared" si="2"/>
        <v>Q1</v>
      </c>
      <c r="E59" s="1" t="str">
        <f t="shared" si="3"/>
        <v>2025</v>
      </c>
      <c r="F59" t="s">
        <v>13</v>
      </c>
      <c r="G59" s="2">
        <v>776</v>
      </c>
      <c r="H59" s="2">
        <v>796.95</v>
      </c>
      <c r="I59" s="2">
        <v>772.5</v>
      </c>
      <c r="J59" s="2">
        <v>776.25</v>
      </c>
      <c r="K59" s="2">
        <v>792.5</v>
      </c>
      <c r="L59" s="2">
        <v>793.25</v>
      </c>
      <c r="M59" s="2">
        <v>787.61</v>
      </c>
      <c r="N59" s="2">
        <v>1179</v>
      </c>
      <c r="O59" s="2">
        <v>717.7</v>
      </c>
      <c r="P59" s="2">
        <v>15547971</v>
      </c>
      <c r="Q59" s="2">
        <v>314304</v>
      </c>
    </row>
    <row r="60" spans="1:17" x14ac:dyDescent="0.25">
      <c r="A60" s="1">
        <v>45663</v>
      </c>
      <c r="B60" s="1" t="str">
        <f t="shared" si="0"/>
        <v>Monday</v>
      </c>
      <c r="C60" s="1" t="str">
        <f t="shared" si="1"/>
        <v>Jan</v>
      </c>
      <c r="D60" s="1" t="str">
        <f t="shared" si="2"/>
        <v>Q1</v>
      </c>
      <c r="E60" s="1" t="str">
        <f t="shared" si="3"/>
        <v>2025</v>
      </c>
      <c r="F60" t="s">
        <v>13</v>
      </c>
      <c r="G60" s="2">
        <v>797.7</v>
      </c>
      <c r="H60" s="2">
        <v>797.7</v>
      </c>
      <c r="I60" s="2">
        <v>765.3</v>
      </c>
      <c r="J60" s="2">
        <v>790.4</v>
      </c>
      <c r="K60" s="2">
        <v>776</v>
      </c>
      <c r="L60" s="2">
        <v>776.25</v>
      </c>
      <c r="M60" s="2">
        <v>783.03</v>
      </c>
      <c r="N60" s="2">
        <v>1179</v>
      </c>
      <c r="O60" s="2">
        <v>717.7</v>
      </c>
      <c r="P60" s="2">
        <v>16948151</v>
      </c>
      <c r="Q60" s="2">
        <v>358878</v>
      </c>
    </row>
    <row r="61" spans="1:17" x14ac:dyDescent="0.25">
      <c r="A61" s="1">
        <v>45660</v>
      </c>
      <c r="B61" s="1" t="str">
        <f t="shared" si="0"/>
        <v>Friday</v>
      </c>
      <c r="C61" s="1" t="str">
        <f t="shared" si="1"/>
        <v>Jan</v>
      </c>
      <c r="D61" s="1" t="str">
        <f t="shared" si="2"/>
        <v>Q1</v>
      </c>
      <c r="E61" s="1" t="str">
        <f t="shared" si="3"/>
        <v>2025</v>
      </c>
      <c r="F61" t="s">
        <v>13</v>
      </c>
      <c r="G61" s="2">
        <v>768</v>
      </c>
      <c r="H61" s="2">
        <v>800.6</v>
      </c>
      <c r="I61" s="2">
        <v>761.45</v>
      </c>
      <c r="J61" s="2">
        <v>765.05</v>
      </c>
      <c r="K61" s="2">
        <v>789</v>
      </c>
      <c r="L61" s="2">
        <v>790.4</v>
      </c>
      <c r="M61" s="2">
        <v>786.86</v>
      </c>
      <c r="N61" s="2">
        <v>1179</v>
      </c>
      <c r="O61" s="2">
        <v>717.7</v>
      </c>
      <c r="P61" s="2">
        <v>24773025</v>
      </c>
      <c r="Q61" s="2">
        <v>457866</v>
      </c>
    </row>
    <row r="62" spans="1:17" x14ac:dyDescent="0.25">
      <c r="A62" s="1">
        <v>45659</v>
      </c>
      <c r="B62" s="1" t="str">
        <f t="shared" si="0"/>
        <v>Thursday</v>
      </c>
      <c r="C62" s="1" t="str">
        <f t="shared" si="1"/>
        <v>Jan</v>
      </c>
      <c r="D62" s="1" t="str">
        <f t="shared" si="2"/>
        <v>Q1</v>
      </c>
      <c r="E62" s="1" t="str">
        <f t="shared" si="3"/>
        <v>2025</v>
      </c>
      <c r="F62" t="s">
        <v>13</v>
      </c>
      <c r="G62" s="2">
        <v>759.3</v>
      </c>
      <c r="H62" s="2">
        <v>767.35</v>
      </c>
      <c r="I62" s="2">
        <v>749.35</v>
      </c>
      <c r="J62" s="2">
        <v>749.25</v>
      </c>
      <c r="K62" s="2">
        <v>764.85</v>
      </c>
      <c r="L62" s="2">
        <v>765.05</v>
      </c>
      <c r="M62" s="2">
        <v>757.34</v>
      </c>
      <c r="N62" s="2">
        <v>1179</v>
      </c>
      <c r="O62" s="2">
        <v>717.7</v>
      </c>
      <c r="P62" s="2">
        <v>15294572</v>
      </c>
      <c r="Q62" s="2">
        <v>306615</v>
      </c>
    </row>
    <row r="63" spans="1:17" x14ac:dyDescent="0.25">
      <c r="A63" s="1">
        <v>45658</v>
      </c>
      <c r="B63" s="1" t="str">
        <f t="shared" si="0"/>
        <v>Wednesday</v>
      </c>
      <c r="C63" s="1" t="str">
        <f t="shared" si="1"/>
        <v>Dec</v>
      </c>
      <c r="D63" s="1" t="str">
        <f t="shared" si="2"/>
        <v>Q1</v>
      </c>
      <c r="E63" s="1" t="str">
        <f t="shared" si="3"/>
        <v>2025</v>
      </c>
      <c r="F63" t="s">
        <v>13</v>
      </c>
      <c r="G63" s="2">
        <v>740.45</v>
      </c>
      <c r="H63" s="2">
        <v>751.1</v>
      </c>
      <c r="I63" s="2">
        <v>736</v>
      </c>
      <c r="J63" s="2">
        <v>740.15</v>
      </c>
      <c r="K63" s="2">
        <v>749.85</v>
      </c>
      <c r="L63" s="2">
        <v>749.25</v>
      </c>
      <c r="M63" s="2">
        <v>744.36</v>
      </c>
      <c r="N63" s="2">
        <v>1179</v>
      </c>
      <c r="O63" s="2">
        <v>717.7</v>
      </c>
      <c r="P63" s="2">
        <v>7792251</v>
      </c>
      <c r="Q63" s="2">
        <v>170318</v>
      </c>
    </row>
    <row r="64" spans="1:17" x14ac:dyDescent="0.25">
      <c r="A64" s="1">
        <v>45657</v>
      </c>
      <c r="B64" s="1" t="str">
        <f t="shared" si="0"/>
        <v>Tuesday</v>
      </c>
      <c r="C64" s="1" t="str">
        <f t="shared" si="1"/>
        <v>Dec</v>
      </c>
      <c r="D64" s="1" t="str">
        <f t="shared" si="2"/>
        <v>Q4</v>
      </c>
      <c r="E64" s="1" t="str">
        <f t="shared" si="3"/>
        <v>2024</v>
      </c>
      <c r="F64" t="s">
        <v>13</v>
      </c>
      <c r="G64" s="2">
        <v>733.65</v>
      </c>
      <c r="H64" s="2">
        <v>743.4</v>
      </c>
      <c r="I64" s="2">
        <v>732.75</v>
      </c>
      <c r="J64" s="2">
        <v>733.65</v>
      </c>
      <c r="K64" s="2">
        <v>741.8</v>
      </c>
      <c r="L64" s="2">
        <v>740.15</v>
      </c>
      <c r="M64" s="2">
        <v>738.63</v>
      </c>
      <c r="N64" s="2">
        <v>1179</v>
      </c>
      <c r="O64" s="2">
        <v>717.7</v>
      </c>
      <c r="P64" s="2">
        <v>7092699</v>
      </c>
      <c r="Q64" s="2">
        <v>176250</v>
      </c>
    </row>
    <row r="65" spans="1:17" x14ac:dyDescent="0.25">
      <c r="A65" s="1">
        <v>45656</v>
      </c>
      <c r="B65" s="1" t="str">
        <f t="shared" si="0"/>
        <v>Monday</v>
      </c>
      <c r="C65" s="1" t="str">
        <f t="shared" si="1"/>
        <v>Dec</v>
      </c>
      <c r="D65" s="1" t="str">
        <f t="shared" si="2"/>
        <v>Q4</v>
      </c>
      <c r="E65" s="1" t="str">
        <f t="shared" si="3"/>
        <v>2024</v>
      </c>
      <c r="F65" t="s">
        <v>13</v>
      </c>
      <c r="G65" s="2">
        <v>753.9</v>
      </c>
      <c r="H65" s="2">
        <v>754.9</v>
      </c>
      <c r="I65" s="2">
        <v>730.7</v>
      </c>
      <c r="J65" s="2">
        <v>750.5</v>
      </c>
      <c r="K65" s="2">
        <v>735.25</v>
      </c>
      <c r="L65" s="2">
        <v>733.65</v>
      </c>
      <c r="M65" s="2">
        <v>738.19</v>
      </c>
      <c r="N65" s="2">
        <v>1179</v>
      </c>
      <c r="O65" s="2">
        <v>717.7</v>
      </c>
      <c r="P65" s="2">
        <v>17441198</v>
      </c>
      <c r="Q65" s="2">
        <v>276286</v>
      </c>
    </row>
    <row r="66" spans="1:17" x14ac:dyDescent="0.25">
      <c r="A66" s="1">
        <v>45653</v>
      </c>
      <c r="B66" s="1" t="str">
        <f t="shared" ref="B66:B129" si="4">TEXT(A66,"dddd")</f>
        <v>Friday</v>
      </c>
      <c r="C66" s="1" t="str">
        <f t="shared" ref="C66:C129" si="5">TEXT(A67,"mmm")</f>
        <v>Dec</v>
      </c>
      <c r="D66" s="1" t="str">
        <f t="shared" ref="D66:D129" si="6">"Q"&amp;ROUNDUP(MONTH(A66)/3,0)</f>
        <v>Q4</v>
      </c>
      <c r="E66" s="1" t="str">
        <f t="shared" ref="E66:E129" si="7">TEXT(A66,"yyyy")</f>
        <v>2024</v>
      </c>
      <c r="F66" t="s">
        <v>13</v>
      </c>
      <c r="G66" s="2">
        <v>749</v>
      </c>
      <c r="H66" s="2">
        <v>766.85</v>
      </c>
      <c r="I66" s="2">
        <v>745.7</v>
      </c>
      <c r="J66" s="2">
        <v>740.8</v>
      </c>
      <c r="K66" s="2">
        <v>754</v>
      </c>
      <c r="L66" s="2">
        <v>750.5</v>
      </c>
      <c r="M66" s="2">
        <v>756.69</v>
      </c>
      <c r="N66" s="2">
        <v>1179</v>
      </c>
      <c r="O66" s="2">
        <v>716.6</v>
      </c>
      <c r="P66" s="2">
        <v>15835079</v>
      </c>
      <c r="Q66" s="2">
        <v>316642</v>
      </c>
    </row>
    <row r="67" spans="1:17" x14ac:dyDescent="0.25">
      <c r="A67" s="1">
        <v>45652</v>
      </c>
      <c r="B67" s="1" t="str">
        <f t="shared" si="4"/>
        <v>Thursday</v>
      </c>
      <c r="C67" s="1" t="str">
        <f t="shared" si="5"/>
        <v>Dec</v>
      </c>
      <c r="D67" s="1" t="str">
        <f t="shared" si="6"/>
        <v>Q4</v>
      </c>
      <c r="E67" s="1" t="str">
        <f t="shared" si="7"/>
        <v>2024</v>
      </c>
      <c r="F67" t="s">
        <v>13</v>
      </c>
      <c r="G67" s="2">
        <v>736.1</v>
      </c>
      <c r="H67" s="2">
        <v>747.8</v>
      </c>
      <c r="I67" s="2">
        <v>735.55</v>
      </c>
      <c r="J67" s="2">
        <v>736.1</v>
      </c>
      <c r="K67" s="2">
        <v>741.5</v>
      </c>
      <c r="L67" s="2">
        <v>740.8</v>
      </c>
      <c r="M67" s="2">
        <v>741.74</v>
      </c>
      <c r="N67" s="2">
        <v>1179</v>
      </c>
      <c r="O67" s="2">
        <v>716.6</v>
      </c>
      <c r="P67" s="2">
        <v>9343210</v>
      </c>
      <c r="Q67" s="2">
        <v>235149</v>
      </c>
    </row>
    <row r="68" spans="1:17" x14ac:dyDescent="0.25">
      <c r="A68" s="1">
        <v>45650</v>
      </c>
      <c r="B68" s="1" t="str">
        <f t="shared" si="4"/>
        <v>Tuesday</v>
      </c>
      <c r="C68" s="1" t="str">
        <f t="shared" si="5"/>
        <v>Dec</v>
      </c>
      <c r="D68" s="1" t="str">
        <f t="shared" si="6"/>
        <v>Q4</v>
      </c>
      <c r="E68" s="1" t="str">
        <f t="shared" si="7"/>
        <v>2024</v>
      </c>
      <c r="F68" t="s">
        <v>13</v>
      </c>
      <c r="G68" s="2">
        <v>723.5</v>
      </c>
      <c r="H68" s="2">
        <v>745.3</v>
      </c>
      <c r="I68" s="2">
        <v>722.5</v>
      </c>
      <c r="J68" s="2">
        <v>722.2</v>
      </c>
      <c r="K68" s="2">
        <v>735.1</v>
      </c>
      <c r="L68" s="2">
        <v>736.1</v>
      </c>
      <c r="M68" s="2">
        <v>736.4</v>
      </c>
      <c r="N68" s="2">
        <v>1179</v>
      </c>
      <c r="O68" s="2">
        <v>716.6</v>
      </c>
      <c r="P68" s="2">
        <v>12553555</v>
      </c>
      <c r="Q68" s="2">
        <v>266530</v>
      </c>
    </row>
    <row r="69" spans="1:17" x14ac:dyDescent="0.25">
      <c r="A69" s="1">
        <v>45649</v>
      </c>
      <c r="B69" s="1" t="str">
        <f t="shared" si="4"/>
        <v>Monday</v>
      </c>
      <c r="C69" s="1" t="str">
        <f t="shared" si="5"/>
        <v>Dec</v>
      </c>
      <c r="D69" s="1" t="str">
        <f t="shared" si="6"/>
        <v>Q4</v>
      </c>
      <c r="E69" s="1" t="str">
        <f t="shared" si="7"/>
        <v>2024</v>
      </c>
      <c r="F69" t="s">
        <v>13</v>
      </c>
      <c r="G69" s="2">
        <v>733.7</v>
      </c>
      <c r="H69" s="2">
        <v>734.4</v>
      </c>
      <c r="I69" s="2">
        <v>717.7</v>
      </c>
      <c r="J69" s="2">
        <v>724.05</v>
      </c>
      <c r="K69" s="2">
        <v>721.5</v>
      </c>
      <c r="L69" s="2">
        <v>722.2</v>
      </c>
      <c r="M69" s="2">
        <v>726.35</v>
      </c>
      <c r="N69" s="2">
        <v>1179</v>
      </c>
      <c r="O69" s="2">
        <v>716.6</v>
      </c>
      <c r="P69" s="2">
        <v>9653868</v>
      </c>
      <c r="Q69" s="2">
        <v>293999</v>
      </c>
    </row>
    <row r="70" spans="1:17" x14ac:dyDescent="0.25">
      <c r="A70" s="1">
        <v>45646</v>
      </c>
      <c r="B70" s="1" t="str">
        <f t="shared" si="4"/>
        <v>Friday</v>
      </c>
      <c r="C70" s="1" t="str">
        <f t="shared" si="5"/>
        <v>Dec</v>
      </c>
      <c r="D70" s="1" t="str">
        <f t="shared" si="6"/>
        <v>Q4</v>
      </c>
      <c r="E70" s="1" t="str">
        <f t="shared" si="7"/>
        <v>2024</v>
      </c>
      <c r="F70" t="s">
        <v>13</v>
      </c>
      <c r="G70" s="2">
        <v>744.3</v>
      </c>
      <c r="H70" s="2">
        <v>749.55</v>
      </c>
      <c r="I70" s="2">
        <v>721.5</v>
      </c>
      <c r="J70" s="2">
        <v>744.05</v>
      </c>
      <c r="K70" s="2">
        <v>724.3</v>
      </c>
      <c r="L70" s="2">
        <v>724.05</v>
      </c>
      <c r="M70" s="2">
        <v>732.88</v>
      </c>
      <c r="N70" s="2">
        <v>1179</v>
      </c>
      <c r="O70" s="2">
        <v>696.25</v>
      </c>
      <c r="P70" s="2">
        <v>17962656</v>
      </c>
      <c r="Q70" s="2">
        <v>414949</v>
      </c>
    </row>
    <row r="71" spans="1:17" x14ac:dyDescent="0.25">
      <c r="A71" s="1">
        <v>45645</v>
      </c>
      <c r="B71" s="1" t="str">
        <f t="shared" si="4"/>
        <v>Thursday</v>
      </c>
      <c r="C71" s="1" t="str">
        <f t="shared" si="5"/>
        <v>Dec</v>
      </c>
      <c r="D71" s="1" t="str">
        <f t="shared" si="6"/>
        <v>Q4</v>
      </c>
      <c r="E71" s="1" t="str">
        <f t="shared" si="7"/>
        <v>2024</v>
      </c>
      <c r="F71" t="s">
        <v>13</v>
      </c>
      <c r="G71" s="2">
        <v>744.45</v>
      </c>
      <c r="H71" s="2">
        <v>755.8</v>
      </c>
      <c r="I71" s="2">
        <v>741.4</v>
      </c>
      <c r="J71" s="2">
        <v>755.7</v>
      </c>
      <c r="K71" s="2">
        <v>745.75</v>
      </c>
      <c r="L71" s="2">
        <v>744.05</v>
      </c>
      <c r="M71" s="2">
        <v>746.59</v>
      </c>
      <c r="N71" s="2">
        <v>1179</v>
      </c>
      <c r="O71" s="2">
        <v>696.25</v>
      </c>
      <c r="P71" s="2">
        <v>17119599</v>
      </c>
      <c r="Q71" s="2">
        <v>377991</v>
      </c>
    </row>
    <row r="72" spans="1:17" x14ac:dyDescent="0.25">
      <c r="A72" s="1">
        <v>45644</v>
      </c>
      <c r="B72" s="1" t="str">
        <f t="shared" si="4"/>
        <v>Wednesday</v>
      </c>
      <c r="C72" s="1" t="str">
        <f t="shared" si="5"/>
        <v>Dec</v>
      </c>
      <c r="D72" s="1" t="str">
        <f t="shared" si="6"/>
        <v>Q4</v>
      </c>
      <c r="E72" s="1" t="str">
        <f t="shared" si="7"/>
        <v>2024</v>
      </c>
      <c r="F72" t="s">
        <v>13</v>
      </c>
      <c r="G72" s="2">
        <v>774</v>
      </c>
      <c r="H72" s="2">
        <v>774.25</v>
      </c>
      <c r="I72" s="2">
        <v>754</v>
      </c>
      <c r="J72" s="2">
        <v>779.75</v>
      </c>
      <c r="K72" s="2">
        <v>757</v>
      </c>
      <c r="L72" s="2">
        <v>755.7</v>
      </c>
      <c r="M72" s="2">
        <v>761.07</v>
      </c>
      <c r="N72" s="2">
        <v>1179</v>
      </c>
      <c r="O72" s="2">
        <v>696.25</v>
      </c>
      <c r="P72" s="2">
        <v>19085263</v>
      </c>
      <c r="Q72" s="2">
        <v>508261</v>
      </c>
    </row>
    <row r="73" spans="1:17" x14ac:dyDescent="0.25">
      <c r="A73" s="1">
        <v>45643</v>
      </c>
      <c r="B73" s="1" t="str">
        <f t="shared" si="4"/>
        <v>Tuesday</v>
      </c>
      <c r="C73" s="1" t="str">
        <f t="shared" si="5"/>
        <v>Dec</v>
      </c>
      <c r="D73" s="1" t="str">
        <f t="shared" si="6"/>
        <v>Q4</v>
      </c>
      <c r="E73" s="1" t="str">
        <f t="shared" si="7"/>
        <v>2024</v>
      </c>
      <c r="F73" t="s">
        <v>13</v>
      </c>
      <c r="G73" s="2">
        <v>785.5</v>
      </c>
      <c r="H73" s="2">
        <v>796.35</v>
      </c>
      <c r="I73" s="2">
        <v>778</v>
      </c>
      <c r="J73" s="2">
        <v>784.8</v>
      </c>
      <c r="K73" s="2">
        <v>779.9</v>
      </c>
      <c r="L73" s="2">
        <v>779.75</v>
      </c>
      <c r="M73" s="2">
        <v>786.01</v>
      </c>
      <c r="N73" s="2">
        <v>1179</v>
      </c>
      <c r="O73" s="2">
        <v>696.25</v>
      </c>
      <c r="P73" s="2">
        <v>10270253</v>
      </c>
      <c r="Q73" s="2">
        <v>229057</v>
      </c>
    </row>
    <row r="74" spans="1:17" x14ac:dyDescent="0.25">
      <c r="A74" s="1">
        <v>45642</v>
      </c>
      <c r="B74" s="1" t="str">
        <f t="shared" si="4"/>
        <v>Monday</v>
      </c>
      <c r="C74" s="1" t="str">
        <f t="shared" si="5"/>
        <v>Dec</v>
      </c>
      <c r="D74" s="1" t="str">
        <f t="shared" si="6"/>
        <v>Q4</v>
      </c>
      <c r="E74" s="1" t="str">
        <f t="shared" si="7"/>
        <v>2024</v>
      </c>
      <c r="F74" t="s">
        <v>13</v>
      </c>
      <c r="G74" s="2">
        <v>791.4</v>
      </c>
      <c r="H74" s="2">
        <v>793.95</v>
      </c>
      <c r="I74" s="2">
        <v>783</v>
      </c>
      <c r="J74" s="2">
        <v>790.3</v>
      </c>
      <c r="K74" s="2">
        <v>785.3</v>
      </c>
      <c r="L74" s="2">
        <v>784.8</v>
      </c>
      <c r="M74" s="2">
        <v>786.38</v>
      </c>
      <c r="N74" s="2">
        <v>1179</v>
      </c>
      <c r="O74" s="2">
        <v>696.25</v>
      </c>
      <c r="P74" s="2">
        <v>10015361</v>
      </c>
      <c r="Q74" s="2">
        <v>199508</v>
      </c>
    </row>
    <row r="75" spans="1:17" x14ac:dyDescent="0.25">
      <c r="A75" s="1">
        <v>45639</v>
      </c>
      <c r="B75" s="1" t="str">
        <f t="shared" si="4"/>
        <v>Friday</v>
      </c>
      <c r="C75" s="1" t="str">
        <f t="shared" si="5"/>
        <v>Dec</v>
      </c>
      <c r="D75" s="1" t="str">
        <f t="shared" si="6"/>
        <v>Q4</v>
      </c>
      <c r="E75" s="1" t="str">
        <f t="shared" si="7"/>
        <v>2024</v>
      </c>
      <c r="F75" t="s">
        <v>13</v>
      </c>
      <c r="G75" s="2">
        <v>789</v>
      </c>
      <c r="H75" s="2">
        <v>792.5</v>
      </c>
      <c r="I75" s="2">
        <v>775</v>
      </c>
      <c r="J75" s="2">
        <v>786.35</v>
      </c>
      <c r="K75" s="2">
        <v>790.7</v>
      </c>
      <c r="L75" s="2">
        <v>790.3</v>
      </c>
      <c r="M75" s="2">
        <v>784.9</v>
      </c>
      <c r="N75" s="2">
        <v>1179</v>
      </c>
      <c r="O75" s="2">
        <v>696.25</v>
      </c>
      <c r="P75" s="2">
        <v>14101869</v>
      </c>
      <c r="Q75" s="2">
        <v>354253</v>
      </c>
    </row>
    <row r="76" spans="1:17" x14ac:dyDescent="0.25">
      <c r="A76" s="1">
        <v>45638</v>
      </c>
      <c r="B76" s="1" t="str">
        <f t="shared" si="4"/>
        <v>Thursday</v>
      </c>
      <c r="C76" s="1" t="str">
        <f t="shared" si="5"/>
        <v>Dec</v>
      </c>
      <c r="D76" s="1" t="str">
        <f t="shared" si="6"/>
        <v>Q4</v>
      </c>
      <c r="E76" s="1" t="str">
        <f t="shared" si="7"/>
        <v>2024</v>
      </c>
      <c r="F76" t="s">
        <v>13</v>
      </c>
      <c r="G76" s="2">
        <v>799.2</v>
      </c>
      <c r="H76" s="2">
        <v>802</v>
      </c>
      <c r="I76" s="2">
        <v>785.5</v>
      </c>
      <c r="J76" s="2">
        <v>799.1</v>
      </c>
      <c r="K76" s="2">
        <v>787</v>
      </c>
      <c r="L76" s="2">
        <v>786.35</v>
      </c>
      <c r="M76" s="2">
        <v>789.09</v>
      </c>
      <c r="N76" s="2">
        <v>1179</v>
      </c>
      <c r="O76" s="2">
        <v>696.25</v>
      </c>
      <c r="P76" s="2">
        <v>10602758</v>
      </c>
      <c r="Q76" s="2">
        <v>284424</v>
      </c>
    </row>
    <row r="77" spans="1:17" x14ac:dyDescent="0.25">
      <c r="A77" s="1">
        <v>45637</v>
      </c>
      <c r="B77" s="1" t="str">
        <f t="shared" si="4"/>
        <v>Wednesday</v>
      </c>
      <c r="C77" s="1" t="str">
        <f t="shared" si="5"/>
        <v>Dec</v>
      </c>
      <c r="D77" s="1" t="str">
        <f t="shared" si="6"/>
        <v>Q4</v>
      </c>
      <c r="E77" s="1" t="str">
        <f t="shared" si="7"/>
        <v>2024</v>
      </c>
      <c r="F77" t="s">
        <v>13</v>
      </c>
      <c r="G77" s="2">
        <v>802.9</v>
      </c>
      <c r="H77" s="2">
        <v>806.95</v>
      </c>
      <c r="I77" s="2">
        <v>798.2</v>
      </c>
      <c r="J77" s="2">
        <v>799.9</v>
      </c>
      <c r="K77" s="2">
        <v>799.45</v>
      </c>
      <c r="L77" s="2">
        <v>799.1</v>
      </c>
      <c r="M77" s="2">
        <v>802.54</v>
      </c>
      <c r="N77" s="2">
        <v>1179</v>
      </c>
      <c r="O77" s="2">
        <v>696.25</v>
      </c>
      <c r="P77" s="2">
        <v>7763357</v>
      </c>
      <c r="Q77" s="2">
        <v>159000</v>
      </c>
    </row>
    <row r="78" spans="1:17" x14ac:dyDescent="0.25">
      <c r="A78" s="1">
        <v>45636</v>
      </c>
      <c r="B78" s="1" t="str">
        <f t="shared" si="4"/>
        <v>Tuesday</v>
      </c>
      <c r="C78" s="1" t="str">
        <f t="shared" si="5"/>
        <v>Dec</v>
      </c>
      <c r="D78" s="1" t="str">
        <f t="shared" si="6"/>
        <v>Q4</v>
      </c>
      <c r="E78" s="1" t="str">
        <f t="shared" si="7"/>
        <v>2024</v>
      </c>
      <c r="F78" t="s">
        <v>13</v>
      </c>
      <c r="G78" s="2">
        <v>804.8</v>
      </c>
      <c r="H78" s="2">
        <v>810.45</v>
      </c>
      <c r="I78" s="2">
        <v>797.45</v>
      </c>
      <c r="J78" s="2">
        <v>798.75</v>
      </c>
      <c r="K78" s="2">
        <v>801</v>
      </c>
      <c r="L78" s="2">
        <v>799.9</v>
      </c>
      <c r="M78" s="2">
        <v>803.15</v>
      </c>
      <c r="N78" s="2">
        <v>1179</v>
      </c>
      <c r="O78" s="2">
        <v>696.25</v>
      </c>
      <c r="P78" s="2">
        <v>13113082</v>
      </c>
      <c r="Q78" s="2">
        <v>234736</v>
      </c>
    </row>
    <row r="79" spans="1:17" x14ac:dyDescent="0.25">
      <c r="A79" s="1">
        <v>45635</v>
      </c>
      <c r="B79" s="1" t="str">
        <f t="shared" si="4"/>
        <v>Monday</v>
      </c>
      <c r="C79" s="1" t="str">
        <f t="shared" si="5"/>
        <v>Dec</v>
      </c>
      <c r="D79" s="1" t="str">
        <f t="shared" si="6"/>
        <v>Q4</v>
      </c>
      <c r="E79" s="1" t="str">
        <f t="shared" si="7"/>
        <v>2024</v>
      </c>
      <c r="F79" t="s">
        <v>13</v>
      </c>
      <c r="G79" s="2">
        <v>816.8</v>
      </c>
      <c r="H79" s="2">
        <v>820.35</v>
      </c>
      <c r="I79" s="2">
        <v>797</v>
      </c>
      <c r="J79" s="2">
        <v>816.8</v>
      </c>
      <c r="K79" s="2">
        <v>799.7</v>
      </c>
      <c r="L79" s="2">
        <v>798.75</v>
      </c>
      <c r="M79" s="2">
        <v>807.57</v>
      </c>
      <c r="N79" s="2">
        <v>1179</v>
      </c>
      <c r="O79" s="2">
        <v>696.25</v>
      </c>
      <c r="P79" s="2">
        <v>15573233</v>
      </c>
      <c r="Q79" s="2">
        <v>308424</v>
      </c>
    </row>
    <row r="80" spans="1:17" x14ac:dyDescent="0.25">
      <c r="A80" s="1">
        <v>45632</v>
      </c>
      <c r="B80" s="1" t="str">
        <f t="shared" si="4"/>
        <v>Friday</v>
      </c>
      <c r="C80" s="1" t="str">
        <f t="shared" si="5"/>
        <v>Dec</v>
      </c>
      <c r="D80" s="1" t="str">
        <f t="shared" si="6"/>
        <v>Q4</v>
      </c>
      <c r="E80" s="1" t="str">
        <f t="shared" si="7"/>
        <v>2024</v>
      </c>
      <c r="F80" t="s">
        <v>13</v>
      </c>
      <c r="G80" s="2">
        <v>793</v>
      </c>
      <c r="H80" s="2">
        <v>818.85</v>
      </c>
      <c r="I80" s="2">
        <v>785.3</v>
      </c>
      <c r="J80" s="2">
        <v>792.55</v>
      </c>
      <c r="K80" s="2">
        <v>818</v>
      </c>
      <c r="L80" s="2">
        <v>816.8</v>
      </c>
      <c r="M80" s="2">
        <v>802.57</v>
      </c>
      <c r="N80" s="2">
        <v>1179</v>
      </c>
      <c r="O80" s="2">
        <v>696.25</v>
      </c>
      <c r="P80" s="2">
        <v>19716910</v>
      </c>
      <c r="Q80" s="2">
        <v>347712</v>
      </c>
    </row>
    <row r="81" spans="1:17" x14ac:dyDescent="0.25">
      <c r="A81" s="1">
        <v>45631</v>
      </c>
      <c r="B81" s="1" t="str">
        <f t="shared" si="4"/>
        <v>Thursday</v>
      </c>
      <c r="C81" s="1" t="str">
        <f t="shared" si="5"/>
        <v>Dec</v>
      </c>
      <c r="D81" s="1" t="str">
        <f t="shared" si="6"/>
        <v>Q4</v>
      </c>
      <c r="E81" s="1" t="str">
        <f t="shared" si="7"/>
        <v>2024</v>
      </c>
      <c r="F81" t="s">
        <v>13</v>
      </c>
      <c r="G81" s="2">
        <v>793</v>
      </c>
      <c r="H81" s="2">
        <v>797.5</v>
      </c>
      <c r="I81" s="2">
        <v>781</v>
      </c>
      <c r="J81" s="2">
        <v>788.1</v>
      </c>
      <c r="K81" s="2">
        <v>793</v>
      </c>
      <c r="L81" s="2">
        <v>792.55</v>
      </c>
      <c r="M81" s="2">
        <v>789.55</v>
      </c>
      <c r="N81" s="2">
        <v>1179</v>
      </c>
      <c r="O81" s="2">
        <v>696.25</v>
      </c>
      <c r="P81" s="2">
        <v>12169428</v>
      </c>
      <c r="Q81" s="2">
        <v>265144</v>
      </c>
    </row>
    <row r="82" spans="1:17" x14ac:dyDescent="0.25">
      <c r="A82" s="1">
        <v>45630</v>
      </c>
      <c r="B82" s="1" t="str">
        <f t="shared" si="4"/>
        <v>Wednesday</v>
      </c>
      <c r="C82" s="1" t="str">
        <f t="shared" si="5"/>
        <v>Dec</v>
      </c>
      <c r="D82" s="1" t="str">
        <f t="shared" si="6"/>
        <v>Q4</v>
      </c>
      <c r="E82" s="1" t="str">
        <f t="shared" si="7"/>
        <v>2024</v>
      </c>
      <c r="F82" t="s">
        <v>13</v>
      </c>
      <c r="G82" s="2">
        <v>805</v>
      </c>
      <c r="H82" s="2">
        <v>806</v>
      </c>
      <c r="I82" s="2">
        <v>784.05</v>
      </c>
      <c r="J82" s="2">
        <v>801.25</v>
      </c>
      <c r="K82" s="2">
        <v>788.2</v>
      </c>
      <c r="L82" s="2">
        <v>788.1</v>
      </c>
      <c r="M82" s="2">
        <v>791.95</v>
      </c>
      <c r="N82" s="2">
        <v>1179</v>
      </c>
      <c r="O82" s="2">
        <v>696.25</v>
      </c>
      <c r="P82" s="2">
        <v>12392259</v>
      </c>
      <c r="Q82" s="2">
        <v>380565</v>
      </c>
    </row>
    <row r="83" spans="1:17" x14ac:dyDescent="0.25">
      <c r="A83" s="1">
        <v>45629</v>
      </c>
      <c r="B83" s="1" t="str">
        <f t="shared" si="4"/>
        <v>Tuesday</v>
      </c>
      <c r="C83" s="1" t="str">
        <f t="shared" si="5"/>
        <v>Dec</v>
      </c>
      <c r="D83" s="1" t="str">
        <f t="shared" si="6"/>
        <v>Q4</v>
      </c>
      <c r="E83" s="1" t="str">
        <f t="shared" si="7"/>
        <v>2024</v>
      </c>
      <c r="F83" t="s">
        <v>13</v>
      </c>
      <c r="G83" s="2">
        <v>795</v>
      </c>
      <c r="H83" s="2">
        <v>806</v>
      </c>
      <c r="I83" s="2">
        <v>790</v>
      </c>
      <c r="J83" s="2">
        <v>790.05</v>
      </c>
      <c r="K83" s="2">
        <v>800.1</v>
      </c>
      <c r="L83" s="2">
        <v>801.25</v>
      </c>
      <c r="M83" s="2">
        <v>798.05</v>
      </c>
      <c r="N83" s="2">
        <v>1179</v>
      </c>
      <c r="O83" s="2">
        <v>696.25</v>
      </c>
      <c r="P83" s="2">
        <v>9874135</v>
      </c>
      <c r="Q83" s="2">
        <v>227850</v>
      </c>
    </row>
    <row r="84" spans="1:17" x14ac:dyDescent="0.25">
      <c r="A84" s="1">
        <v>45628</v>
      </c>
      <c r="B84" s="1" t="str">
        <f t="shared" si="4"/>
        <v>Monday</v>
      </c>
      <c r="C84" s="1" t="str">
        <f t="shared" si="5"/>
        <v>Nov</v>
      </c>
      <c r="D84" s="1" t="str">
        <f t="shared" si="6"/>
        <v>Q4</v>
      </c>
      <c r="E84" s="1" t="str">
        <f t="shared" si="7"/>
        <v>2024</v>
      </c>
      <c r="F84" t="s">
        <v>13</v>
      </c>
      <c r="G84" s="2">
        <v>787.3</v>
      </c>
      <c r="H84" s="2">
        <v>796.75</v>
      </c>
      <c r="I84" s="2">
        <v>785</v>
      </c>
      <c r="J84" s="2">
        <v>786.45</v>
      </c>
      <c r="K84" s="2">
        <v>790.15</v>
      </c>
      <c r="L84" s="2">
        <v>790.05</v>
      </c>
      <c r="M84" s="2">
        <v>790.4</v>
      </c>
      <c r="N84" s="2">
        <v>1179</v>
      </c>
      <c r="O84" s="2">
        <v>696.25</v>
      </c>
      <c r="P84" s="2">
        <v>8425826</v>
      </c>
      <c r="Q84" s="2">
        <v>217075</v>
      </c>
    </row>
    <row r="85" spans="1:17" x14ac:dyDescent="0.25">
      <c r="A85" s="1">
        <v>45625</v>
      </c>
      <c r="B85" s="1" t="str">
        <f t="shared" si="4"/>
        <v>Friday</v>
      </c>
      <c r="C85" s="1" t="str">
        <f t="shared" si="5"/>
        <v>Nov</v>
      </c>
      <c r="D85" s="1" t="str">
        <f t="shared" si="6"/>
        <v>Q4</v>
      </c>
      <c r="E85" s="1" t="str">
        <f t="shared" si="7"/>
        <v>2024</v>
      </c>
      <c r="F85" t="s">
        <v>13</v>
      </c>
      <c r="G85" s="2">
        <v>779.5</v>
      </c>
      <c r="H85" s="2">
        <v>789.4</v>
      </c>
      <c r="I85" s="2">
        <v>777.05</v>
      </c>
      <c r="J85" s="2">
        <v>779.45</v>
      </c>
      <c r="K85" s="2">
        <v>787.35</v>
      </c>
      <c r="L85" s="2">
        <v>786.45</v>
      </c>
      <c r="M85" s="2">
        <v>784.67</v>
      </c>
      <c r="N85" s="2">
        <v>1179</v>
      </c>
      <c r="O85" s="2">
        <v>674.25</v>
      </c>
      <c r="P85" s="2">
        <v>10358590</v>
      </c>
      <c r="Q85" s="2">
        <v>215035</v>
      </c>
    </row>
    <row r="86" spans="1:17" x14ac:dyDescent="0.25">
      <c r="A86" s="1">
        <v>45624</v>
      </c>
      <c r="B86" s="1" t="str">
        <f t="shared" si="4"/>
        <v>Thursday</v>
      </c>
      <c r="C86" s="1" t="str">
        <f t="shared" si="5"/>
        <v>Nov</v>
      </c>
      <c r="D86" s="1" t="str">
        <f t="shared" si="6"/>
        <v>Q4</v>
      </c>
      <c r="E86" s="1" t="str">
        <f t="shared" si="7"/>
        <v>2024</v>
      </c>
      <c r="F86" t="s">
        <v>13</v>
      </c>
      <c r="G86" s="2">
        <v>783</v>
      </c>
      <c r="H86" s="2">
        <v>792.55</v>
      </c>
      <c r="I86" s="2">
        <v>778</v>
      </c>
      <c r="J86" s="2">
        <v>783.95</v>
      </c>
      <c r="K86" s="2">
        <v>781.5</v>
      </c>
      <c r="L86" s="2">
        <v>779.45</v>
      </c>
      <c r="M86" s="2">
        <v>784.58</v>
      </c>
      <c r="N86" s="2">
        <v>1179</v>
      </c>
      <c r="O86" s="2">
        <v>674.25</v>
      </c>
      <c r="P86" s="2">
        <v>10939142</v>
      </c>
      <c r="Q86" s="2">
        <v>272953</v>
      </c>
    </row>
    <row r="87" spans="1:17" x14ac:dyDescent="0.25">
      <c r="A87" s="1">
        <v>45623</v>
      </c>
      <c r="B87" s="1" t="str">
        <f t="shared" si="4"/>
        <v>Wednesday</v>
      </c>
      <c r="C87" s="1" t="str">
        <f t="shared" si="5"/>
        <v>Nov</v>
      </c>
      <c r="D87" s="1" t="str">
        <f t="shared" si="6"/>
        <v>Q4</v>
      </c>
      <c r="E87" s="1" t="str">
        <f t="shared" si="7"/>
        <v>2024</v>
      </c>
      <c r="F87" t="s">
        <v>13</v>
      </c>
      <c r="G87" s="2">
        <v>785.05</v>
      </c>
      <c r="H87" s="2">
        <v>791.9</v>
      </c>
      <c r="I87" s="2">
        <v>779.1</v>
      </c>
      <c r="J87" s="2">
        <v>783</v>
      </c>
      <c r="K87" s="2">
        <v>785.2</v>
      </c>
      <c r="L87" s="2">
        <v>783.95</v>
      </c>
      <c r="M87" s="2">
        <v>785.34</v>
      </c>
      <c r="N87" s="2">
        <v>1179</v>
      </c>
      <c r="O87" s="2">
        <v>674.25</v>
      </c>
      <c r="P87" s="2">
        <v>10014685</v>
      </c>
      <c r="Q87" s="2">
        <v>200451</v>
      </c>
    </row>
    <row r="88" spans="1:17" x14ac:dyDescent="0.25">
      <c r="A88" s="1">
        <v>45622</v>
      </c>
      <c r="B88" s="1" t="str">
        <f t="shared" si="4"/>
        <v>Tuesday</v>
      </c>
      <c r="C88" s="1" t="str">
        <f t="shared" si="5"/>
        <v>Nov</v>
      </c>
      <c r="D88" s="1" t="str">
        <f t="shared" si="6"/>
        <v>Q4</v>
      </c>
      <c r="E88" s="1" t="str">
        <f t="shared" si="7"/>
        <v>2024</v>
      </c>
      <c r="F88" t="s">
        <v>13</v>
      </c>
      <c r="G88" s="2">
        <v>797.15</v>
      </c>
      <c r="H88" s="2">
        <v>801.8</v>
      </c>
      <c r="I88" s="2">
        <v>780.15</v>
      </c>
      <c r="J88" s="2">
        <v>796.6</v>
      </c>
      <c r="K88" s="2">
        <v>784.2</v>
      </c>
      <c r="L88" s="2">
        <v>783</v>
      </c>
      <c r="M88" s="2">
        <v>789.35</v>
      </c>
      <c r="N88" s="2">
        <v>1179</v>
      </c>
      <c r="O88" s="2">
        <v>674.25</v>
      </c>
      <c r="P88" s="2">
        <v>10310838</v>
      </c>
      <c r="Q88" s="2">
        <v>227912</v>
      </c>
    </row>
    <row r="89" spans="1:17" x14ac:dyDescent="0.25">
      <c r="A89" s="1">
        <v>45621</v>
      </c>
      <c r="B89" s="1" t="str">
        <f t="shared" si="4"/>
        <v>Monday</v>
      </c>
      <c r="C89" s="1" t="str">
        <f t="shared" si="5"/>
        <v>Nov</v>
      </c>
      <c r="D89" s="1" t="str">
        <f t="shared" si="6"/>
        <v>Q4</v>
      </c>
      <c r="E89" s="1" t="str">
        <f t="shared" si="7"/>
        <v>2024</v>
      </c>
      <c r="F89" t="s">
        <v>13</v>
      </c>
      <c r="G89" s="2">
        <v>808.05</v>
      </c>
      <c r="H89" s="2">
        <v>810.2</v>
      </c>
      <c r="I89" s="2">
        <v>793.65</v>
      </c>
      <c r="J89" s="2">
        <v>791</v>
      </c>
      <c r="K89" s="2">
        <v>797.4</v>
      </c>
      <c r="L89" s="2">
        <v>796.6</v>
      </c>
      <c r="M89" s="2">
        <v>799.7</v>
      </c>
      <c r="N89" s="2">
        <v>1179</v>
      </c>
      <c r="O89" s="2">
        <v>674.25</v>
      </c>
      <c r="P89" s="2">
        <v>15194167</v>
      </c>
      <c r="Q89" s="2">
        <v>263327</v>
      </c>
    </row>
    <row r="90" spans="1:17" x14ac:dyDescent="0.25">
      <c r="A90" s="1">
        <v>45618</v>
      </c>
      <c r="B90" s="1" t="str">
        <f t="shared" si="4"/>
        <v>Friday</v>
      </c>
      <c r="C90" s="1" t="str">
        <f t="shared" si="5"/>
        <v>Nov</v>
      </c>
      <c r="D90" s="1" t="str">
        <f t="shared" si="6"/>
        <v>Q4</v>
      </c>
      <c r="E90" s="1" t="str">
        <f t="shared" si="7"/>
        <v>2024</v>
      </c>
      <c r="F90" t="s">
        <v>13</v>
      </c>
      <c r="G90" s="2">
        <v>775</v>
      </c>
      <c r="H90" s="2">
        <v>794</v>
      </c>
      <c r="I90" s="2">
        <v>775</v>
      </c>
      <c r="J90" s="2">
        <v>773.85</v>
      </c>
      <c r="K90" s="2">
        <v>794</v>
      </c>
      <c r="L90" s="2">
        <v>791</v>
      </c>
      <c r="M90" s="2">
        <v>784.59</v>
      </c>
      <c r="N90" s="2">
        <v>1179</v>
      </c>
      <c r="O90" s="2">
        <v>670.7</v>
      </c>
      <c r="P90" s="2">
        <v>14535112</v>
      </c>
      <c r="Q90" s="2">
        <v>300768</v>
      </c>
    </row>
    <row r="91" spans="1:17" x14ac:dyDescent="0.25">
      <c r="A91" s="1">
        <v>45617</v>
      </c>
      <c r="B91" s="1" t="str">
        <f t="shared" si="4"/>
        <v>Thursday</v>
      </c>
      <c r="C91" s="1" t="str">
        <f t="shared" si="5"/>
        <v>Nov</v>
      </c>
      <c r="D91" s="1" t="str">
        <f t="shared" si="6"/>
        <v>Q4</v>
      </c>
      <c r="E91" s="1" t="str">
        <f t="shared" si="7"/>
        <v>2024</v>
      </c>
      <c r="F91" t="s">
        <v>13</v>
      </c>
      <c r="G91" s="2">
        <v>784.95</v>
      </c>
      <c r="H91" s="2">
        <v>785.95</v>
      </c>
      <c r="I91" s="2">
        <v>766.25</v>
      </c>
      <c r="J91" s="2">
        <v>783.2</v>
      </c>
      <c r="K91" s="2">
        <v>774</v>
      </c>
      <c r="L91" s="2">
        <v>773.85</v>
      </c>
      <c r="M91" s="2">
        <v>775.95</v>
      </c>
      <c r="N91" s="2">
        <v>1179</v>
      </c>
      <c r="O91" s="2">
        <v>670.7</v>
      </c>
      <c r="P91" s="2">
        <v>14194678</v>
      </c>
      <c r="Q91" s="2">
        <v>319937</v>
      </c>
    </row>
    <row r="92" spans="1:17" x14ac:dyDescent="0.25">
      <c r="A92" s="1">
        <v>45615</v>
      </c>
      <c r="B92" s="1" t="str">
        <f t="shared" si="4"/>
        <v>Tuesday</v>
      </c>
      <c r="C92" s="1" t="str">
        <f t="shared" si="5"/>
        <v>Nov</v>
      </c>
      <c r="D92" s="1" t="str">
        <f t="shared" si="6"/>
        <v>Q4</v>
      </c>
      <c r="E92" s="1" t="str">
        <f t="shared" si="7"/>
        <v>2024</v>
      </c>
      <c r="F92" t="s">
        <v>13</v>
      </c>
      <c r="G92" s="2">
        <v>771.9</v>
      </c>
      <c r="H92" s="2">
        <v>799.9</v>
      </c>
      <c r="I92" s="2">
        <v>771.9</v>
      </c>
      <c r="J92" s="2">
        <v>771.9</v>
      </c>
      <c r="K92" s="2">
        <v>781.95</v>
      </c>
      <c r="L92" s="2">
        <v>783.2</v>
      </c>
      <c r="M92" s="2">
        <v>790.2</v>
      </c>
      <c r="N92" s="2">
        <v>1179</v>
      </c>
      <c r="O92" s="2">
        <v>670.7</v>
      </c>
      <c r="P92" s="2">
        <v>14012014</v>
      </c>
      <c r="Q92" s="2">
        <v>279101</v>
      </c>
    </row>
    <row r="93" spans="1:17" x14ac:dyDescent="0.25">
      <c r="A93" s="1">
        <v>45614</v>
      </c>
      <c r="B93" s="1" t="str">
        <f t="shared" si="4"/>
        <v>Monday</v>
      </c>
      <c r="C93" s="1" t="str">
        <f t="shared" si="5"/>
        <v>Nov</v>
      </c>
      <c r="D93" s="1" t="str">
        <f t="shared" si="6"/>
        <v>Q4</v>
      </c>
      <c r="E93" s="1" t="str">
        <f t="shared" si="7"/>
        <v>2024</v>
      </c>
      <c r="F93" t="s">
        <v>13</v>
      </c>
      <c r="G93" s="2">
        <v>778</v>
      </c>
      <c r="H93" s="2">
        <v>781.75</v>
      </c>
      <c r="I93" s="2">
        <v>759.2</v>
      </c>
      <c r="J93" s="2">
        <v>774.3</v>
      </c>
      <c r="K93" s="2">
        <v>772.5</v>
      </c>
      <c r="L93" s="2">
        <v>771.9</v>
      </c>
      <c r="M93" s="2">
        <v>770.6</v>
      </c>
      <c r="N93" s="2">
        <v>1179</v>
      </c>
      <c r="O93" s="2">
        <v>670.7</v>
      </c>
      <c r="P93" s="2">
        <v>17053446</v>
      </c>
      <c r="Q93" s="2">
        <v>419815</v>
      </c>
    </row>
    <row r="94" spans="1:17" x14ac:dyDescent="0.25">
      <c r="A94" s="1">
        <v>45610</v>
      </c>
      <c r="B94" s="1" t="str">
        <f t="shared" si="4"/>
        <v>Thursday</v>
      </c>
      <c r="C94" s="1" t="str">
        <f t="shared" si="5"/>
        <v>Nov</v>
      </c>
      <c r="D94" s="1" t="str">
        <f t="shared" si="6"/>
        <v>Q4</v>
      </c>
      <c r="E94" s="1" t="str">
        <f t="shared" si="7"/>
        <v>2024</v>
      </c>
      <c r="F94" t="s">
        <v>13</v>
      </c>
      <c r="G94" s="2">
        <v>786.6</v>
      </c>
      <c r="H94" s="2">
        <v>792</v>
      </c>
      <c r="I94" s="2">
        <v>772</v>
      </c>
      <c r="J94" s="2">
        <v>786.25</v>
      </c>
      <c r="K94" s="2">
        <v>776</v>
      </c>
      <c r="L94" s="2">
        <v>774.3</v>
      </c>
      <c r="M94" s="2">
        <v>779.43</v>
      </c>
      <c r="N94" s="2">
        <v>1179</v>
      </c>
      <c r="O94" s="2">
        <v>649.29999999999995</v>
      </c>
      <c r="P94" s="2">
        <v>11740909</v>
      </c>
      <c r="Q94" s="2">
        <v>313693</v>
      </c>
    </row>
    <row r="95" spans="1:17" x14ac:dyDescent="0.25">
      <c r="A95" s="1">
        <v>45609</v>
      </c>
      <c r="B95" s="1" t="str">
        <f t="shared" si="4"/>
        <v>Wednesday</v>
      </c>
      <c r="C95" s="1" t="str">
        <f t="shared" si="5"/>
        <v>Nov</v>
      </c>
      <c r="D95" s="1" t="str">
        <f t="shared" si="6"/>
        <v>Q4</v>
      </c>
      <c r="E95" s="1" t="str">
        <f t="shared" si="7"/>
        <v>2024</v>
      </c>
      <c r="F95" t="s">
        <v>13</v>
      </c>
      <c r="G95" s="2">
        <v>787</v>
      </c>
      <c r="H95" s="2">
        <v>792.65</v>
      </c>
      <c r="I95" s="2">
        <v>775.55</v>
      </c>
      <c r="J95" s="2">
        <v>784.85</v>
      </c>
      <c r="K95" s="2">
        <v>786.85</v>
      </c>
      <c r="L95" s="2">
        <v>786.25</v>
      </c>
      <c r="M95" s="2">
        <v>785.62</v>
      </c>
      <c r="N95" s="2">
        <v>1179</v>
      </c>
      <c r="O95" s="2">
        <v>649.29999999999995</v>
      </c>
      <c r="P95" s="2">
        <v>14674022</v>
      </c>
      <c r="Q95" s="2">
        <v>391032</v>
      </c>
    </row>
    <row r="96" spans="1:17" x14ac:dyDescent="0.25">
      <c r="A96" s="1">
        <v>45608</v>
      </c>
      <c r="B96" s="1" t="str">
        <f t="shared" si="4"/>
        <v>Tuesday</v>
      </c>
      <c r="C96" s="1" t="str">
        <f t="shared" si="5"/>
        <v>Nov</v>
      </c>
      <c r="D96" s="1" t="str">
        <f t="shared" si="6"/>
        <v>Q4</v>
      </c>
      <c r="E96" s="1" t="str">
        <f t="shared" si="7"/>
        <v>2024</v>
      </c>
      <c r="F96" t="s">
        <v>13</v>
      </c>
      <c r="G96" s="2">
        <v>806</v>
      </c>
      <c r="H96" s="2">
        <v>813.1</v>
      </c>
      <c r="I96" s="2">
        <v>783.05</v>
      </c>
      <c r="J96" s="2">
        <v>804.7</v>
      </c>
      <c r="K96" s="2">
        <v>784.75</v>
      </c>
      <c r="L96" s="2">
        <v>784.85</v>
      </c>
      <c r="M96" s="2">
        <v>792.6</v>
      </c>
      <c r="N96" s="2">
        <v>1179</v>
      </c>
      <c r="O96" s="2">
        <v>649.29999999999995</v>
      </c>
      <c r="P96" s="2">
        <v>16526921</v>
      </c>
      <c r="Q96" s="2">
        <v>594079</v>
      </c>
    </row>
    <row r="97" spans="1:17" x14ac:dyDescent="0.25">
      <c r="A97" s="1">
        <v>45607</v>
      </c>
      <c r="B97" s="1" t="str">
        <f t="shared" si="4"/>
        <v>Monday</v>
      </c>
      <c r="C97" s="1" t="str">
        <f t="shared" si="5"/>
        <v>Nov</v>
      </c>
      <c r="D97" s="1" t="str">
        <f t="shared" si="6"/>
        <v>Q4</v>
      </c>
      <c r="E97" s="1" t="str">
        <f t="shared" si="7"/>
        <v>2024</v>
      </c>
      <c r="F97" t="s">
        <v>13</v>
      </c>
      <c r="G97" s="2">
        <v>801</v>
      </c>
      <c r="H97" s="2">
        <v>831.45</v>
      </c>
      <c r="I97" s="2">
        <v>792</v>
      </c>
      <c r="J97" s="2">
        <v>805.45</v>
      </c>
      <c r="K97" s="2">
        <v>805</v>
      </c>
      <c r="L97" s="2">
        <v>804.7</v>
      </c>
      <c r="M97" s="2">
        <v>816.67</v>
      </c>
      <c r="N97" s="2">
        <v>1179</v>
      </c>
      <c r="O97" s="2">
        <v>649.29999999999995</v>
      </c>
      <c r="P97" s="2">
        <v>27587619</v>
      </c>
      <c r="Q97" s="2">
        <v>575463</v>
      </c>
    </row>
    <row r="98" spans="1:17" x14ac:dyDescent="0.25">
      <c r="A98" s="1">
        <v>45604</v>
      </c>
      <c r="B98" s="1" t="str">
        <f t="shared" si="4"/>
        <v>Friday</v>
      </c>
      <c r="C98" s="1" t="str">
        <f t="shared" si="5"/>
        <v>Nov</v>
      </c>
      <c r="D98" s="1" t="str">
        <f t="shared" si="6"/>
        <v>Q4</v>
      </c>
      <c r="E98" s="1" t="str">
        <f t="shared" si="7"/>
        <v>2024</v>
      </c>
      <c r="F98" t="s">
        <v>13</v>
      </c>
      <c r="G98" s="2">
        <v>821.95</v>
      </c>
      <c r="H98" s="2">
        <v>822</v>
      </c>
      <c r="I98" s="2">
        <v>801.1</v>
      </c>
      <c r="J98" s="2">
        <v>819.75</v>
      </c>
      <c r="K98" s="2">
        <v>803.55</v>
      </c>
      <c r="L98" s="2">
        <v>805.45</v>
      </c>
      <c r="M98" s="2">
        <v>807.29</v>
      </c>
      <c r="N98" s="2">
        <v>1179</v>
      </c>
      <c r="O98" s="2">
        <v>641.9</v>
      </c>
      <c r="P98" s="2">
        <v>16072692</v>
      </c>
      <c r="Q98" s="2">
        <v>478152</v>
      </c>
    </row>
    <row r="99" spans="1:17" x14ac:dyDescent="0.25">
      <c r="A99" s="1">
        <v>45603</v>
      </c>
      <c r="B99" s="1" t="str">
        <f t="shared" si="4"/>
        <v>Thursday</v>
      </c>
      <c r="C99" s="1" t="str">
        <f t="shared" si="5"/>
        <v>Nov</v>
      </c>
      <c r="D99" s="1" t="str">
        <f t="shared" si="6"/>
        <v>Q4</v>
      </c>
      <c r="E99" s="1" t="str">
        <f t="shared" si="7"/>
        <v>2024</v>
      </c>
      <c r="F99" t="s">
        <v>13</v>
      </c>
      <c r="G99" s="2">
        <v>841</v>
      </c>
      <c r="H99" s="2">
        <v>842.75</v>
      </c>
      <c r="I99" s="2">
        <v>817.3</v>
      </c>
      <c r="J99" s="2">
        <v>839.7</v>
      </c>
      <c r="K99" s="2">
        <v>821.8</v>
      </c>
      <c r="L99" s="2">
        <v>819.75</v>
      </c>
      <c r="M99" s="2">
        <v>826.73</v>
      </c>
      <c r="N99" s="2">
        <v>1179</v>
      </c>
      <c r="O99" s="2">
        <v>641.9</v>
      </c>
      <c r="P99" s="2">
        <v>13237161</v>
      </c>
      <c r="Q99" s="2">
        <v>381746</v>
      </c>
    </row>
    <row r="100" spans="1:17" x14ac:dyDescent="0.25">
      <c r="A100" s="1">
        <v>45602</v>
      </c>
      <c r="B100" s="1" t="str">
        <f t="shared" si="4"/>
        <v>Wednesday</v>
      </c>
      <c r="C100" s="1" t="str">
        <f t="shared" si="5"/>
        <v>Nov</v>
      </c>
      <c r="D100" s="1" t="str">
        <f t="shared" si="6"/>
        <v>Q4</v>
      </c>
      <c r="E100" s="1" t="str">
        <f t="shared" si="7"/>
        <v>2024</v>
      </c>
      <c r="F100" t="s">
        <v>13</v>
      </c>
      <c r="G100" s="2">
        <v>843.9</v>
      </c>
      <c r="H100" s="2">
        <v>843.9</v>
      </c>
      <c r="I100" s="2">
        <v>826</v>
      </c>
      <c r="J100" s="2">
        <v>835.65</v>
      </c>
      <c r="K100" s="2">
        <v>840.5</v>
      </c>
      <c r="L100" s="2">
        <v>839.7</v>
      </c>
      <c r="M100" s="2">
        <v>836.11</v>
      </c>
      <c r="N100" s="2">
        <v>1179</v>
      </c>
      <c r="O100" s="2">
        <v>641.9</v>
      </c>
      <c r="P100" s="2">
        <v>10579596</v>
      </c>
      <c r="Q100" s="2">
        <v>273406</v>
      </c>
    </row>
    <row r="101" spans="1:17" x14ac:dyDescent="0.25">
      <c r="A101" s="1">
        <v>45601</v>
      </c>
      <c r="B101" s="1" t="str">
        <f t="shared" si="4"/>
        <v>Tuesday</v>
      </c>
      <c r="C101" s="1" t="str">
        <f t="shared" si="5"/>
        <v>Nov</v>
      </c>
      <c r="D101" s="1" t="str">
        <f t="shared" si="6"/>
        <v>Q4</v>
      </c>
      <c r="E101" s="1" t="str">
        <f t="shared" si="7"/>
        <v>2024</v>
      </c>
      <c r="F101" t="s">
        <v>13</v>
      </c>
      <c r="G101" s="2">
        <v>821.5</v>
      </c>
      <c r="H101" s="2">
        <v>843.6</v>
      </c>
      <c r="I101" s="2">
        <v>820.4</v>
      </c>
      <c r="J101" s="2">
        <v>824.1</v>
      </c>
      <c r="K101" s="2">
        <v>835.6</v>
      </c>
      <c r="L101" s="2">
        <v>835.65</v>
      </c>
      <c r="M101" s="2">
        <v>832.4</v>
      </c>
      <c r="N101" s="2">
        <v>1179</v>
      </c>
      <c r="O101" s="2">
        <v>641.9</v>
      </c>
      <c r="P101" s="2">
        <v>10215249</v>
      </c>
      <c r="Q101" s="2">
        <v>255937</v>
      </c>
    </row>
    <row r="102" spans="1:17" x14ac:dyDescent="0.25">
      <c r="A102" s="1">
        <v>45600</v>
      </c>
      <c r="B102" s="1" t="str">
        <f t="shared" si="4"/>
        <v>Monday</v>
      </c>
      <c r="C102" s="1" t="str">
        <f t="shared" si="5"/>
        <v>Nov</v>
      </c>
      <c r="D102" s="1" t="str">
        <f t="shared" si="6"/>
        <v>Q4</v>
      </c>
      <c r="E102" s="1" t="str">
        <f t="shared" si="7"/>
        <v>2024</v>
      </c>
      <c r="F102" t="s">
        <v>13</v>
      </c>
      <c r="G102" s="2">
        <v>840</v>
      </c>
      <c r="H102" s="2">
        <v>844.45</v>
      </c>
      <c r="I102" s="2">
        <v>814.5</v>
      </c>
      <c r="J102" s="2">
        <v>843.45</v>
      </c>
      <c r="K102" s="2">
        <v>824.2</v>
      </c>
      <c r="L102" s="2">
        <v>824.1</v>
      </c>
      <c r="M102" s="2">
        <v>822.77</v>
      </c>
      <c r="N102" s="2">
        <v>1179</v>
      </c>
      <c r="O102" s="2">
        <v>641.9</v>
      </c>
      <c r="P102" s="2">
        <v>15514419</v>
      </c>
      <c r="Q102" s="2">
        <v>467713</v>
      </c>
    </row>
    <row r="103" spans="1:17" x14ac:dyDescent="0.25">
      <c r="A103" s="1">
        <v>45597</v>
      </c>
      <c r="B103" s="1" t="str">
        <f t="shared" si="4"/>
        <v>Friday</v>
      </c>
      <c r="C103" s="1" t="str">
        <f t="shared" si="5"/>
        <v>Oct</v>
      </c>
      <c r="D103" s="1" t="str">
        <f t="shared" si="6"/>
        <v>Q4</v>
      </c>
      <c r="E103" s="1" t="str">
        <f t="shared" si="7"/>
        <v>2024</v>
      </c>
      <c r="F103" t="s">
        <v>13</v>
      </c>
      <c r="G103" s="2">
        <v>847.95</v>
      </c>
      <c r="H103" s="2">
        <v>847.95</v>
      </c>
      <c r="I103" s="2">
        <v>840</v>
      </c>
      <c r="J103" s="2">
        <v>834.05</v>
      </c>
      <c r="K103" s="2">
        <v>843.1</v>
      </c>
      <c r="L103" s="2">
        <v>843.45</v>
      </c>
      <c r="M103" s="2">
        <v>844.54</v>
      </c>
      <c r="N103" s="2">
        <v>1179</v>
      </c>
      <c r="O103" s="2">
        <v>621.85</v>
      </c>
      <c r="P103" s="2">
        <v>2900548</v>
      </c>
      <c r="Q103" s="2">
        <v>134792</v>
      </c>
    </row>
    <row r="104" spans="1:17" x14ac:dyDescent="0.25">
      <c r="A104" s="1">
        <v>45596</v>
      </c>
      <c r="B104" s="1" t="str">
        <f t="shared" si="4"/>
        <v>Thursday</v>
      </c>
      <c r="C104" s="1" t="str">
        <f t="shared" si="5"/>
        <v>Oct</v>
      </c>
      <c r="D104" s="1" t="str">
        <f t="shared" si="6"/>
        <v>Q4</v>
      </c>
      <c r="E104" s="1" t="str">
        <f t="shared" si="7"/>
        <v>2024</v>
      </c>
      <c r="F104" t="s">
        <v>13</v>
      </c>
      <c r="G104" s="2">
        <v>843.85</v>
      </c>
      <c r="H104" s="2">
        <v>843.85</v>
      </c>
      <c r="I104" s="2">
        <v>831.85</v>
      </c>
      <c r="J104" s="2">
        <v>840.2</v>
      </c>
      <c r="K104" s="2">
        <v>835.25</v>
      </c>
      <c r="L104" s="2">
        <v>834.05</v>
      </c>
      <c r="M104" s="2">
        <v>835.59</v>
      </c>
      <c r="N104" s="2">
        <v>1179</v>
      </c>
      <c r="O104" s="2">
        <v>621.85</v>
      </c>
      <c r="P104" s="2">
        <v>11904413</v>
      </c>
      <c r="Q104" s="2">
        <v>287659</v>
      </c>
    </row>
    <row r="105" spans="1:17" x14ac:dyDescent="0.25">
      <c r="A105" s="1">
        <v>45595</v>
      </c>
      <c r="B105" s="1" t="str">
        <f t="shared" si="4"/>
        <v>Wednesday</v>
      </c>
      <c r="C105" s="1" t="str">
        <f t="shared" si="5"/>
        <v>Oct</v>
      </c>
      <c r="D105" s="1" t="str">
        <f t="shared" si="6"/>
        <v>Q4</v>
      </c>
      <c r="E105" s="1" t="str">
        <f t="shared" si="7"/>
        <v>2024</v>
      </c>
      <c r="F105" t="s">
        <v>13</v>
      </c>
      <c r="G105" s="2">
        <v>846</v>
      </c>
      <c r="H105" s="2">
        <v>853.6</v>
      </c>
      <c r="I105" s="2">
        <v>838.05</v>
      </c>
      <c r="J105" s="2">
        <v>842.75</v>
      </c>
      <c r="K105" s="2">
        <v>840</v>
      </c>
      <c r="L105" s="2">
        <v>840.2</v>
      </c>
      <c r="M105" s="2">
        <v>845.85</v>
      </c>
      <c r="N105" s="2">
        <v>1179</v>
      </c>
      <c r="O105" s="2">
        <v>621.85</v>
      </c>
      <c r="P105" s="2">
        <v>12933218</v>
      </c>
      <c r="Q105" s="2">
        <v>328464</v>
      </c>
    </row>
    <row r="106" spans="1:17" x14ac:dyDescent="0.25">
      <c r="A106" s="1">
        <v>45594</v>
      </c>
      <c r="B106" s="1" t="str">
        <f t="shared" si="4"/>
        <v>Tuesday</v>
      </c>
      <c r="C106" s="1" t="str">
        <f t="shared" si="5"/>
        <v>Oct</v>
      </c>
      <c r="D106" s="1" t="str">
        <f t="shared" si="6"/>
        <v>Q4</v>
      </c>
      <c r="E106" s="1" t="str">
        <f t="shared" si="7"/>
        <v>2024</v>
      </c>
      <c r="F106" t="s">
        <v>13</v>
      </c>
      <c r="G106" s="2">
        <v>880.25</v>
      </c>
      <c r="H106" s="2">
        <v>882.5</v>
      </c>
      <c r="I106" s="2">
        <v>825.7</v>
      </c>
      <c r="J106" s="2">
        <v>878.45</v>
      </c>
      <c r="K106" s="2">
        <v>844</v>
      </c>
      <c r="L106" s="2">
        <v>842.75</v>
      </c>
      <c r="M106" s="2">
        <v>843.06</v>
      </c>
      <c r="N106" s="2">
        <v>1179</v>
      </c>
      <c r="O106" s="2">
        <v>621.85</v>
      </c>
      <c r="P106" s="2">
        <v>26818871</v>
      </c>
      <c r="Q106" s="2">
        <v>726757</v>
      </c>
    </row>
    <row r="107" spans="1:17" x14ac:dyDescent="0.25">
      <c r="A107" s="1">
        <v>45593</v>
      </c>
      <c r="B107" s="1" t="str">
        <f t="shared" si="4"/>
        <v>Monday</v>
      </c>
      <c r="C107" s="1" t="str">
        <f t="shared" si="5"/>
        <v>Oct</v>
      </c>
      <c r="D107" s="1" t="str">
        <f t="shared" si="6"/>
        <v>Q4</v>
      </c>
      <c r="E107" s="1" t="str">
        <f t="shared" si="7"/>
        <v>2024</v>
      </c>
      <c r="F107" t="s">
        <v>13</v>
      </c>
      <c r="G107" s="2">
        <v>867.85</v>
      </c>
      <c r="H107" s="2">
        <v>886.75</v>
      </c>
      <c r="I107" s="2">
        <v>860.2</v>
      </c>
      <c r="J107" s="2">
        <v>864.3</v>
      </c>
      <c r="K107" s="2">
        <v>881.9</v>
      </c>
      <c r="L107" s="2">
        <v>878.45</v>
      </c>
      <c r="M107" s="2">
        <v>876.38</v>
      </c>
      <c r="N107" s="2">
        <v>1179</v>
      </c>
      <c r="O107" s="2">
        <v>621.85</v>
      </c>
      <c r="P107" s="2">
        <v>7106045</v>
      </c>
      <c r="Q107" s="2">
        <v>203043</v>
      </c>
    </row>
    <row r="108" spans="1:17" x14ac:dyDescent="0.25">
      <c r="A108" s="1">
        <v>45590</v>
      </c>
      <c r="B108" s="1" t="str">
        <f t="shared" si="4"/>
        <v>Friday</v>
      </c>
      <c r="C108" s="1" t="str">
        <f t="shared" si="5"/>
        <v>Oct</v>
      </c>
      <c r="D108" s="1" t="str">
        <f t="shared" si="6"/>
        <v>Q4</v>
      </c>
      <c r="E108" s="1" t="str">
        <f t="shared" si="7"/>
        <v>2024</v>
      </c>
      <c r="F108" t="s">
        <v>13</v>
      </c>
      <c r="G108" s="2">
        <v>883.9</v>
      </c>
      <c r="H108" s="2">
        <v>885.75</v>
      </c>
      <c r="I108" s="2">
        <v>857.3</v>
      </c>
      <c r="J108" s="2">
        <v>880</v>
      </c>
      <c r="K108" s="2">
        <v>864.05</v>
      </c>
      <c r="L108" s="2">
        <v>864.3</v>
      </c>
      <c r="M108" s="2">
        <v>865.79</v>
      </c>
      <c r="N108" s="2">
        <v>1179</v>
      </c>
      <c r="O108" s="2">
        <v>621.85</v>
      </c>
      <c r="P108" s="2">
        <v>10873022</v>
      </c>
      <c r="Q108" s="2">
        <v>379450</v>
      </c>
    </row>
    <row r="109" spans="1:17" x14ac:dyDescent="0.25">
      <c r="A109" s="1">
        <v>45589</v>
      </c>
      <c r="B109" s="1" t="str">
        <f t="shared" si="4"/>
        <v>Thursday</v>
      </c>
      <c r="C109" s="1" t="str">
        <f t="shared" si="5"/>
        <v>Oct</v>
      </c>
      <c r="D109" s="1" t="str">
        <f t="shared" si="6"/>
        <v>Q4</v>
      </c>
      <c r="E109" s="1" t="str">
        <f t="shared" si="7"/>
        <v>2024</v>
      </c>
      <c r="F109" t="s">
        <v>13</v>
      </c>
      <c r="G109" s="2">
        <v>875.25</v>
      </c>
      <c r="H109" s="2">
        <v>890</v>
      </c>
      <c r="I109" s="2">
        <v>875.25</v>
      </c>
      <c r="J109" s="2">
        <v>877.65</v>
      </c>
      <c r="K109" s="2">
        <v>880.5</v>
      </c>
      <c r="L109" s="2">
        <v>880</v>
      </c>
      <c r="M109" s="2">
        <v>882.7</v>
      </c>
      <c r="N109" s="2">
        <v>1179</v>
      </c>
      <c r="O109" s="2">
        <v>621.85</v>
      </c>
      <c r="P109" s="2">
        <v>7233484</v>
      </c>
      <c r="Q109" s="2">
        <v>286907</v>
      </c>
    </row>
    <row r="110" spans="1:17" x14ac:dyDescent="0.25">
      <c r="A110" s="1">
        <v>45588</v>
      </c>
      <c r="B110" s="1" t="str">
        <f t="shared" si="4"/>
        <v>Wednesday</v>
      </c>
      <c r="C110" s="1" t="str">
        <f t="shared" si="5"/>
        <v>Oct</v>
      </c>
      <c r="D110" s="1" t="str">
        <f t="shared" si="6"/>
        <v>Q4</v>
      </c>
      <c r="E110" s="1" t="str">
        <f t="shared" si="7"/>
        <v>2024</v>
      </c>
      <c r="F110" t="s">
        <v>13</v>
      </c>
      <c r="G110" s="2">
        <v>879</v>
      </c>
      <c r="H110" s="2">
        <v>885.6</v>
      </c>
      <c r="I110" s="2">
        <v>863.3</v>
      </c>
      <c r="J110" s="2">
        <v>879.5</v>
      </c>
      <c r="K110" s="2">
        <v>876</v>
      </c>
      <c r="L110" s="2">
        <v>877.65</v>
      </c>
      <c r="M110" s="2">
        <v>876.37</v>
      </c>
      <c r="N110" s="2">
        <v>1179</v>
      </c>
      <c r="O110" s="2">
        <v>621.85</v>
      </c>
      <c r="P110" s="2">
        <v>10553771</v>
      </c>
      <c r="Q110" s="2">
        <v>356148</v>
      </c>
    </row>
    <row r="111" spans="1:17" x14ac:dyDescent="0.25">
      <c r="A111" s="1">
        <v>45587</v>
      </c>
      <c r="B111" s="1" t="str">
        <f t="shared" si="4"/>
        <v>Tuesday</v>
      </c>
      <c r="C111" s="1" t="str">
        <f t="shared" si="5"/>
        <v>Oct</v>
      </c>
      <c r="D111" s="1" t="str">
        <f t="shared" si="6"/>
        <v>Q4</v>
      </c>
      <c r="E111" s="1" t="str">
        <f t="shared" si="7"/>
        <v>2024</v>
      </c>
      <c r="F111" t="s">
        <v>13</v>
      </c>
      <c r="G111" s="2">
        <v>905</v>
      </c>
      <c r="H111" s="2">
        <v>906.1</v>
      </c>
      <c r="I111" s="2">
        <v>875.25</v>
      </c>
      <c r="J111" s="2">
        <v>903.3</v>
      </c>
      <c r="K111" s="2">
        <v>881.5</v>
      </c>
      <c r="L111" s="2">
        <v>879.5</v>
      </c>
      <c r="M111" s="2">
        <v>886.02</v>
      </c>
      <c r="N111" s="2">
        <v>1179</v>
      </c>
      <c r="O111" s="2">
        <v>621.85</v>
      </c>
      <c r="P111" s="2">
        <v>13617490</v>
      </c>
      <c r="Q111" s="2">
        <v>532014</v>
      </c>
    </row>
    <row r="112" spans="1:17" x14ac:dyDescent="0.25">
      <c r="A112" s="1">
        <v>45586</v>
      </c>
      <c r="B112" s="1" t="str">
        <f t="shared" si="4"/>
        <v>Monday</v>
      </c>
      <c r="C112" s="1" t="str">
        <f t="shared" si="5"/>
        <v>Oct</v>
      </c>
      <c r="D112" s="1" t="str">
        <f t="shared" si="6"/>
        <v>Q4</v>
      </c>
      <c r="E112" s="1" t="str">
        <f t="shared" si="7"/>
        <v>2024</v>
      </c>
      <c r="F112" t="s">
        <v>13</v>
      </c>
      <c r="G112" s="2">
        <v>912.05</v>
      </c>
      <c r="H112" s="2">
        <v>917.65</v>
      </c>
      <c r="I112" s="2">
        <v>898.1</v>
      </c>
      <c r="J112" s="2">
        <v>910.15</v>
      </c>
      <c r="K112" s="2">
        <v>902.75</v>
      </c>
      <c r="L112" s="2">
        <v>903.3</v>
      </c>
      <c r="M112" s="2">
        <v>905.03</v>
      </c>
      <c r="N112" s="2">
        <v>1179</v>
      </c>
      <c r="O112" s="2">
        <v>621.85</v>
      </c>
      <c r="P112" s="2">
        <v>7390557</v>
      </c>
      <c r="Q112" s="2">
        <v>204274</v>
      </c>
    </row>
    <row r="113" spans="1:17" x14ac:dyDescent="0.25">
      <c r="A113" s="1">
        <v>45583</v>
      </c>
      <c r="B113" s="1" t="str">
        <f t="shared" si="4"/>
        <v>Friday</v>
      </c>
      <c r="C113" s="1" t="str">
        <f t="shared" si="5"/>
        <v>Oct</v>
      </c>
      <c r="D113" s="1" t="str">
        <f t="shared" si="6"/>
        <v>Q4</v>
      </c>
      <c r="E113" s="1" t="str">
        <f t="shared" si="7"/>
        <v>2024</v>
      </c>
      <c r="F113" t="s">
        <v>13</v>
      </c>
      <c r="G113" s="2">
        <v>894.3</v>
      </c>
      <c r="H113" s="2">
        <v>917.7</v>
      </c>
      <c r="I113" s="2">
        <v>886.8</v>
      </c>
      <c r="J113" s="2">
        <v>891.6</v>
      </c>
      <c r="K113" s="2">
        <v>911</v>
      </c>
      <c r="L113" s="2">
        <v>910.15</v>
      </c>
      <c r="M113" s="2">
        <v>906.85</v>
      </c>
      <c r="N113" s="2">
        <v>1179</v>
      </c>
      <c r="O113" s="2">
        <v>621.85</v>
      </c>
      <c r="P113" s="2">
        <v>11527914</v>
      </c>
      <c r="Q113" s="2">
        <v>300927</v>
      </c>
    </row>
    <row r="114" spans="1:17" x14ac:dyDescent="0.25">
      <c r="A114" s="1">
        <v>45582</v>
      </c>
      <c r="B114" s="1" t="str">
        <f t="shared" si="4"/>
        <v>Thursday</v>
      </c>
      <c r="C114" s="1" t="str">
        <f t="shared" si="5"/>
        <v>Oct</v>
      </c>
      <c r="D114" s="1" t="str">
        <f t="shared" si="6"/>
        <v>Q4</v>
      </c>
      <c r="E114" s="1" t="str">
        <f t="shared" si="7"/>
        <v>2024</v>
      </c>
      <c r="F114" t="s">
        <v>13</v>
      </c>
      <c r="G114" s="2">
        <v>914.95</v>
      </c>
      <c r="H114" s="2">
        <v>914.95</v>
      </c>
      <c r="I114" s="2">
        <v>890.05</v>
      </c>
      <c r="J114" s="2">
        <v>907.45</v>
      </c>
      <c r="K114" s="2">
        <v>894.3</v>
      </c>
      <c r="L114" s="2">
        <v>891.6</v>
      </c>
      <c r="M114" s="2">
        <v>899.88</v>
      </c>
      <c r="N114" s="2">
        <v>1179</v>
      </c>
      <c r="O114" s="2">
        <v>621.85</v>
      </c>
      <c r="P114" s="2">
        <v>13864583</v>
      </c>
      <c r="Q114" s="2">
        <v>552996</v>
      </c>
    </row>
    <row r="115" spans="1:17" x14ac:dyDescent="0.25">
      <c r="A115" s="1">
        <v>45581</v>
      </c>
      <c r="B115" s="1" t="str">
        <f t="shared" si="4"/>
        <v>Wednesday</v>
      </c>
      <c r="C115" s="1" t="str">
        <f t="shared" si="5"/>
        <v>Oct</v>
      </c>
      <c r="D115" s="1" t="str">
        <f t="shared" si="6"/>
        <v>Q4</v>
      </c>
      <c r="E115" s="1" t="str">
        <f t="shared" si="7"/>
        <v>2024</v>
      </c>
      <c r="F115" t="s">
        <v>13</v>
      </c>
      <c r="G115" s="2">
        <v>917.05</v>
      </c>
      <c r="H115" s="2">
        <v>923</v>
      </c>
      <c r="I115" s="2">
        <v>900</v>
      </c>
      <c r="J115" s="2">
        <v>917.3</v>
      </c>
      <c r="K115" s="2">
        <v>906.15</v>
      </c>
      <c r="L115" s="2">
        <v>907.45</v>
      </c>
      <c r="M115" s="2">
        <v>909.4</v>
      </c>
      <c r="N115" s="2">
        <v>1179</v>
      </c>
      <c r="O115" s="2">
        <v>621.85</v>
      </c>
      <c r="P115" s="2">
        <v>10298258</v>
      </c>
      <c r="Q115" s="2">
        <v>370552</v>
      </c>
    </row>
    <row r="116" spans="1:17" x14ac:dyDescent="0.25">
      <c r="A116" s="1">
        <v>45580</v>
      </c>
      <c r="B116" s="1" t="str">
        <f t="shared" si="4"/>
        <v>Tuesday</v>
      </c>
      <c r="C116" s="1" t="str">
        <f t="shared" si="5"/>
        <v>Oct</v>
      </c>
      <c r="D116" s="1" t="str">
        <f t="shared" si="6"/>
        <v>Q4</v>
      </c>
      <c r="E116" s="1" t="str">
        <f t="shared" si="7"/>
        <v>2024</v>
      </c>
      <c r="F116" t="s">
        <v>13</v>
      </c>
      <c r="G116" s="2">
        <v>932.95</v>
      </c>
      <c r="H116" s="2">
        <v>935.35</v>
      </c>
      <c r="I116" s="2">
        <v>913</v>
      </c>
      <c r="J116" s="2">
        <v>928.25</v>
      </c>
      <c r="K116" s="2">
        <v>918.9</v>
      </c>
      <c r="L116" s="2">
        <v>917.3</v>
      </c>
      <c r="M116" s="2">
        <v>920.38</v>
      </c>
      <c r="N116" s="2">
        <v>1179</v>
      </c>
      <c r="O116" s="2">
        <v>621.85</v>
      </c>
      <c r="P116" s="2">
        <v>9058919</v>
      </c>
      <c r="Q116" s="2">
        <v>281499</v>
      </c>
    </row>
    <row r="117" spans="1:17" x14ac:dyDescent="0.25">
      <c r="A117" s="1">
        <v>45579</v>
      </c>
      <c r="B117" s="1" t="str">
        <f t="shared" si="4"/>
        <v>Monday</v>
      </c>
      <c r="C117" s="1" t="str">
        <f t="shared" si="5"/>
        <v>Oct</v>
      </c>
      <c r="D117" s="1" t="str">
        <f t="shared" si="6"/>
        <v>Q4</v>
      </c>
      <c r="E117" s="1" t="str">
        <f t="shared" si="7"/>
        <v>2024</v>
      </c>
      <c r="F117" t="s">
        <v>13</v>
      </c>
      <c r="G117" s="2">
        <v>930</v>
      </c>
      <c r="H117" s="2">
        <v>940</v>
      </c>
      <c r="I117" s="2">
        <v>925.35</v>
      </c>
      <c r="J117" s="2">
        <v>930.7</v>
      </c>
      <c r="K117" s="2">
        <v>929</v>
      </c>
      <c r="L117" s="2">
        <v>928.25</v>
      </c>
      <c r="M117" s="2">
        <v>932.68</v>
      </c>
      <c r="N117" s="2">
        <v>1179</v>
      </c>
      <c r="O117" s="2">
        <v>621.85</v>
      </c>
      <c r="P117" s="2">
        <v>5740649</v>
      </c>
      <c r="Q117" s="2">
        <v>207829</v>
      </c>
    </row>
    <row r="118" spans="1:17" x14ac:dyDescent="0.25">
      <c r="A118" s="1">
        <v>45576</v>
      </c>
      <c r="B118" s="1" t="str">
        <f t="shared" si="4"/>
        <v>Friday</v>
      </c>
      <c r="C118" s="1" t="str">
        <f t="shared" si="5"/>
        <v>Oct</v>
      </c>
      <c r="D118" s="1" t="str">
        <f t="shared" si="6"/>
        <v>Q4</v>
      </c>
      <c r="E118" s="1" t="str">
        <f t="shared" si="7"/>
        <v>2024</v>
      </c>
      <c r="F118" t="s">
        <v>13</v>
      </c>
      <c r="G118" s="2">
        <v>932</v>
      </c>
      <c r="H118" s="2">
        <v>937</v>
      </c>
      <c r="I118" s="2">
        <v>928.5</v>
      </c>
      <c r="J118" s="2">
        <v>928.5</v>
      </c>
      <c r="K118" s="2">
        <v>931.4</v>
      </c>
      <c r="L118" s="2">
        <v>930.7</v>
      </c>
      <c r="M118" s="2">
        <v>932.01</v>
      </c>
      <c r="N118" s="2">
        <v>1179</v>
      </c>
      <c r="O118" s="2">
        <v>613.70000000000005</v>
      </c>
      <c r="P118" s="2">
        <v>4459529</v>
      </c>
      <c r="Q118" s="2">
        <v>151010</v>
      </c>
    </row>
    <row r="119" spans="1:17" x14ac:dyDescent="0.25">
      <c r="A119" s="1">
        <v>45575</v>
      </c>
      <c r="B119" s="1" t="str">
        <f t="shared" si="4"/>
        <v>Thursday</v>
      </c>
      <c r="C119" s="1" t="str">
        <f t="shared" si="5"/>
        <v>Oct</v>
      </c>
      <c r="D119" s="1" t="str">
        <f t="shared" si="6"/>
        <v>Q4</v>
      </c>
      <c r="E119" s="1" t="str">
        <f t="shared" si="7"/>
        <v>2024</v>
      </c>
      <c r="F119" t="s">
        <v>13</v>
      </c>
      <c r="G119" s="2">
        <v>933.75</v>
      </c>
      <c r="H119" s="2">
        <v>943.6</v>
      </c>
      <c r="I119" s="2">
        <v>912.35</v>
      </c>
      <c r="J119" s="2">
        <v>939.15</v>
      </c>
      <c r="K119" s="2">
        <v>930.6</v>
      </c>
      <c r="L119" s="2">
        <v>928.5</v>
      </c>
      <c r="M119" s="2">
        <v>932.19</v>
      </c>
      <c r="N119" s="2">
        <v>1179</v>
      </c>
      <c r="O119" s="2">
        <v>613.70000000000005</v>
      </c>
      <c r="P119" s="2">
        <v>13249851</v>
      </c>
      <c r="Q119" s="2">
        <v>350137</v>
      </c>
    </row>
    <row r="120" spans="1:17" x14ac:dyDescent="0.25">
      <c r="A120" s="1">
        <v>45574</v>
      </c>
      <c r="B120" s="1" t="str">
        <f t="shared" si="4"/>
        <v>Wednesday</v>
      </c>
      <c r="C120" s="1" t="str">
        <f t="shared" si="5"/>
        <v>Oct</v>
      </c>
      <c r="D120" s="1" t="str">
        <f t="shared" si="6"/>
        <v>Q4</v>
      </c>
      <c r="E120" s="1" t="str">
        <f t="shared" si="7"/>
        <v>2024</v>
      </c>
      <c r="F120" t="s">
        <v>13</v>
      </c>
      <c r="G120" s="2">
        <v>926.8</v>
      </c>
      <c r="H120" s="2">
        <v>948.45</v>
      </c>
      <c r="I120" s="2">
        <v>925.5</v>
      </c>
      <c r="J120" s="2">
        <v>919.8</v>
      </c>
      <c r="K120" s="2">
        <v>939</v>
      </c>
      <c r="L120" s="2">
        <v>939.15</v>
      </c>
      <c r="M120" s="2">
        <v>941.16</v>
      </c>
      <c r="N120" s="2">
        <v>1179</v>
      </c>
      <c r="O120" s="2">
        <v>613.70000000000005</v>
      </c>
      <c r="P120" s="2">
        <v>11557737</v>
      </c>
      <c r="Q120" s="2">
        <v>317263</v>
      </c>
    </row>
    <row r="121" spans="1:17" x14ac:dyDescent="0.25">
      <c r="A121" s="1">
        <v>45573</v>
      </c>
      <c r="B121" s="1" t="str">
        <f t="shared" si="4"/>
        <v>Tuesday</v>
      </c>
      <c r="C121" s="1" t="str">
        <f t="shared" si="5"/>
        <v>Oct</v>
      </c>
      <c r="D121" s="1" t="str">
        <f t="shared" si="6"/>
        <v>Q4</v>
      </c>
      <c r="E121" s="1" t="str">
        <f t="shared" si="7"/>
        <v>2024</v>
      </c>
      <c r="F121" t="s">
        <v>13</v>
      </c>
      <c r="G121" s="2">
        <v>916</v>
      </c>
      <c r="H121" s="2">
        <v>924.8</v>
      </c>
      <c r="I121" s="2">
        <v>893.85</v>
      </c>
      <c r="J121" s="2">
        <v>927.85</v>
      </c>
      <c r="K121" s="2">
        <v>924.8</v>
      </c>
      <c r="L121" s="2">
        <v>919.8</v>
      </c>
      <c r="M121" s="2">
        <v>909.63</v>
      </c>
      <c r="N121" s="2">
        <v>1179</v>
      </c>
      <c r="O121" s="2">
        <v>613.70000000000005</v>
      </c>
      <c r="P121" s="2">
        <v>21177886</v>
      </c>
      <c r="Q121" s="2">
        <v>581422</v>
      </c>
    </row>
    <row r="122" spans="1:17" x14ac:dyDescent="0.25">
      <c r="A122" s="1">
        <v>45572</v>
      </c>
      <c r="B122" s="1" t="str">
        <f t="shared" si="4"/>
        <v>Monday</v>
      </c>
      <c r="C122" s="1" t="str">
        <f t="shared" si="5"/>
        <v>Oct</v>
      </c>
      <c r="D122" s="1" t="str">
        <f t="shared" si="6"/>
        <v>Q4</v>
      </c>
      <c r="E122" s="1" t="str">
        <f t="shared" si="7"/>
        <v>2024</v>
      </c>
      <c r="F122" t="s">
        <v>13</v>
      </c>
      <c r="G122" s="2">
        <v>942</v>
      </c>
      <c r="H122" s="2">
        <v>944.45</v>
      </c>
      <c r="I122" s="2">
        <v>915</v>
      </c>
      <c r="J122" s="2">
        <v>930.75</v>
      </c>
      <c r="K122" s="2">
        <v>928.3</v>
      </c>
      <c r="L122" s="2">
        <v>927.85</v>
      </c>
      <c r="M122" s="2">
        <v>929.05</v>
      </c>
      <c r="N122" s="2">
        <v>1179</v>
      </c>
      <c r="O122" s="2">
        <v>613.70000000000005</v>
      </c>
      <c r="P122" s="2">
        <v>11772546</v>
      </c>
      <c r="Q122" s="2">
        <v>349818</v>
      </c>
    </row>
    <row r="123" spans="1:17" x14ac:dyDescent="0.25">
      <c r="A123" s="1">
        <v>45569</v>
      </c>
      <c r="B123" s="1" t="str">
        <f t="shared" si="4"/>
        <v>Friday</v>
      </c>
      <c r="C123" s="1" t="str">
        <f t="shared" si="5"/>
        <v>Oct</v>
      </c>
      <c r="D123" s="1" t="str">
        <f t="shared" si="6"/>
        <v>Q4</v>
      </c>
      <c r="E123" s="1" t="str">
        <f t="shared" si="7"/>
        <v>2024</v>
      </c>
      <c r="F123" t="s">
        <v>13</v>
      </c>
      <c r="G123" s="2">
        <v>930</v>
      </c>
      <c r="H123" s="2">
        <v>949.2</v>
      </c>
      <c r="I123" s="2">
        <v>920</v>
      </c>
      <c r="J123" s="2">
        <v>925.7</v>
      </c>
      <c r="K123" s="2">
        <v>933.55</v>
      </c>
      <c r="L123" s="2">
        <v>930.75</v>
      </c>
      <c r="M123" s="2">
        <v>934.22</v>
      </c>
      <c r="N123" s="2">
        <v>1179</v>
      </c>
      <c r="O123" s="2">
        <v>608.29999999999995</v>
      </c>
      <c r="P123" s="2">
        <v>19187758</v>
      </c>
      <c r="Q123" s="2">
        <v>464043</v>
      </c>
    </row>
    <row r="124" spans="1:17" x14ac:dyDescent="0.25">
      <c r="A124" s="1">
        <v>45568</v>
      </c>
      <c r="B124" s="1" t="str">
        <f t="shared" si="4"/>
        <v>Thursday</v>
      </c>
      <c r="C124" s="1" t="str">
        <f t="shared" si="5"/>
        <v>Oct</v>
      </c>
      <c r="D124" s="1" t="str">
        <f t="shared" si="6"/>
        <v>Q4</v>
      </c>
      <c r="E124" s="1" t="str">
        <f t="shared" si="7"/>
        <v>2024</v>
      </c>
      <c r="F124" t="s">
        <v>13</v>
      </c>
      <c r="G124" s="2">
        <v>939</v>
      </c>
      <c r="H124" s="2">
        <v>950.15</v>
      </c>
      <c r="I124" s="2">
        <v>925</v>
      </c>
      <c r="J124" s="2">
        <v>965.2</v>
      </c>
      <c r="K124" s="2">
        <v>928.8</v>
      </c>
      <c r="L124" s="2">
        <v>925.7</v>
      </c>
      <c r="M124" s="2">
        <v>934.51</v>
      </c>
      <c r="N124" s="2">
        <v>1179</v>
      </c>
      <c r="O124" s="2">
        <v>608.29999999999995</v>
      </c>
      <c r="P124" s="2">
        <v>24418517</v>
      </c>
      <c r="Q124" s="2">
        <v>867561</v>
      </c>
    </row>
    <row r="125" spans="1:17" x14ac:dyDescent="0.25">
      <c r="A125" s="1">
        <v>45566</v>
      </c>
      <c r="B125" s="1" t="str">
        <f t="shared" si="4"/>
        <v>Tuesday</v>
      </c>
      <c r="C125" s="1" t="str">
        <f t="shared" si="5"/>
        <v>Sep</v>
      </c>
      <c r="D125" s="1" t="str">
        <f t="shared" si="6"/>
        <v>Q4</v>
      </c>
      <c r="E125" s="1" t="str">
        <f t="shared" si="7"/>
        <v>2024</v>
      </c>
      <c r="F125" t="s">
        <v>13</v>
      </c>
      <c r="G125" s="2">
        <v>976.9</v>
      </c>
      <c r="H125" s="2">
        <v>984.5</v>
      </c>
      <c r="I125" s="2">
        <v>958.9</v>
      </c>
      <c r="J125" s="2">
        <v>974.65</v>
      </c>
      <c r="K125" s="2">
        <v>966.4</v>
      </c>
      <c r="L125" s="2">
        <v>965.2</v>
      </c>
      <c r="M125" s="2">
        <v>972.72</v>
      </c>
      <c r="N125" s="2">
        <v>1179</v>
      </c>
      <c r="O125" s="2">
        <v>608.29999999999995</v>
      </c>
      <c r="P125" s="2">
        <v>10085203</v>
      </c>
      <c r="Q125" s="2">
        <v>247160</v>
      </c>
    </row>
    <row r="126" spans="1:17" x14ac:dyDescent="0.25">
      <c r="A126" s="1">
        <v>45565</v>
      </c>
      <c r="B126" s="1" t="str">
        <f t="shared" si="4"/>
        <v>Monday</v>
      </c>
      <c r="C126" s="1" t="str">
        <f t="shared" si="5"/>
        <v>Sep</v>
      </c>
      <c r="D126" s="1" t="str">
        <f t="shared" si="6"/>
        <v>Q3</v>
      </c>
      <c r="E126" s="1" t="str">
        <f t="shared" si="7"/>
        <v>2024</v>
      </c>
      <c r="F126" t="s">
        <v>13</v>
      </c>
      <c r="G126" s="2">
        <v>993</v>
      </c>
      <c r="H126" s="2">
        <v>996.95</v>
      </c>
      <c r="I126" s="2">
        <v>971.8</v>
      </c>
      <c r="J126" s="2">
        <v>993</v>
      </c>
      <c r="K126" s="2">
        <v>975.8</v>
      </c>
      <c r="L126" s="2">
        <v>974.65</v>
      </c>
      <c r="M126" s="2">
        <v>979.12</v>
      </c>
      <c r="N126" s="2">
        <v>1179</v>
      </c>
      <c r="O126" s="2">
        <v>608.29999999999995</v>
      </c>
      <c r="P126" s="2">
        <v>12225895</v>
      </c>
      <c r="Q126" s="2">
        <v>375285</v>
      </c>
    </row>
    <row r="127" spans="1:17" x14ac:dyDescent="0.25">
      <c r="A127" s="1">
        <v>45562</v>
      </c>
      <c r="B127" s="1" t="str">
        <f t="shared" si="4"/>
        <v>Friday</v>
      </c>
      <c r="C127" s="1" t="str">
        <f t="shared" si="5"/>
        <v>Sep</v>
      </c>
      <c r="D127" s="1" t="str">
        <f t="shared" si="6"/>
        <v>Q3</v>
      </c>
      <c r="E127" s="1" t="str">
        <f t="shared" si="7"/>
        <v>2024</v>
      </c>
      <c r="F127" t="s">
        <v>13</v>
      </c>
      <c r="G127" s="2">
        <v>996</v>
      </c>
      <c r="H127" s="2">
        <v>1000.4</v>
      </c>
      <c r="I127" s="2">
        <v>989.15</v>
      </c>
      <c r="J127" s="2">
        <v>993.15</v>
      </c>
      <c r="K127" s="2">
        <v>989.9</v>
      </c>
      <c r="L127" s="2">
        <v>993</v>
      </c>
      <c r="M127" s="2">
        <v>994.16</v>
      </c>
      <c r="N127" s="2">
        <v>1179</v>
      </c>
      <c r="O127" s="2">
        <v>608.29999999999995</v>
      </c>
      <c r="P127" s="2">
        <v>10360030</v>
      </c>
      <c r="Q127" s="2">
        <v>302339</v>
      </c>
    </row>
    <row r="128" spans="1:17" x14ac:dyDescent="0.25">
      <c r="A128" s="1">
        <v>45561</v>
      </c>
      <c r="B128" s="1" t="str">
        <f t="shared" si="4"/>
        <v>Thursday</v>
      </c>
      <c r="C128" s="1" t="str">
        <f t="shared" si="5"/>
        <v>Sep</v>
      </c>
      <c r="D128" s="1" t="str">
        <f t="shared" si="6"/>
        <v>Q3</v>
      </c>
      <c r="E128" s="1" t="str">
        <f t="shared" si="7"/>
        <v>2024</v>
      </c>
      <c r="F128" t="s">
        <v>13</v>
      </c>
      <c r="G128" s="2">
        <v>970.8</v>
      </c>
      <c r="H128" s="2">
        <v>994.95</v>
      </c>
      <c r="I128" s="2">
        <v>965.6</v>
      </c>
      <c r="J128" s="2">
        <v>963.6</v>
      </c>
      <c r="K128" s="2">
        <v>990.9</v>
      </c>
      <c r="L128" s="2">
        <v>993.15</v>
      </c>
      <c r="M128" s="2">
        <v>984.31</v>
      </c>
      <c r="N128" s="2">
        <v>1179</v>
      </c>
      <c r="O128" s="2">
        <v>608.29999999999995</v>
      </c>
      <c r="P128" s="2">
        <v>21640021</v>
      </c>
      <c r="Q128" s="2">
        <v>411197</v>
      </c>
    </row>
    <row r="129" spans="1:17" x14ac:dyDescent="0.25">
      <c r="A129" s="1">
        <v>45560</v>
      </c>
      <c r="B129" s="1" t="str">
        <f t="shared" si="4"/>
        <v>Wednesday</v>
      </c>
      <c r="C129" s="1" t="str">
        <f t="shared" si="5"/>
        <v>Sep</v>
      </c>
      <c r="D129" s="1" t="str">
        <f t="shared" si="6"/>
        <v>Q3</v>
      </c>
      <c r="E129" s="1" t="str">
        <f t="shared" si="7"/>
        <v>2024</v>
      </c>
      <c r="F129" t="s">
        <v>13</v>
      </c>
      <c r="G129" s="2">
        <v>982.4</v>
      </c>
      <c r="H129" s="2">
        <v>982.5</v>
      </c>
      <c r="I129" s="2">
        <v>959.25</v>
      </c>
      <c r="J129" s="2">
        <v>977.3</v>
      </c>
      <c r="K129" s="2">
        <v>964</v>
      </c>
      <c r="L129" s="2">
        <v>963.6</v>
      </c>
      <c r="M129" s="2">
        <v>965.11</v>
      </c>
      <c r="N129" s="2">
        <v>1179</v>
      </c>
      <c r="O129" s="2">
        <v>608.29999999999995</v>
      </c>
      <c r="P129" s="2">
        <v>12959075</v>
      </c>
      <c r="Q129" s="2">
        <v>483047</v>
      </c>
    </row>
    <row r="130" spans="1:17" x14ac:dyDescent="0.25">
      <c r="A130" s="1">
        <v>45559</v>
      </c>
      <c r="B130" s="1" t="str">
        <f t="shared" ref="B130:B193" si="8">TEXT(A130,"dddd")</f>
        <v>Tuesday</v>
      </c>
      <c r="C130" s="1" t="str">
        <f t="shared" ref="C130:C193" si="9">TEXT(A131,"mmm")</f>
        <v>Sep</v>
      </c>
      <c r="D130" s="1" t="str">
        <f t="shared" ref="D130:D193" si="10">"Q"&amp;ROUNDUP(MONTH(A130)/3,0)</f>
        <v>Q3</v>
      </c>
      <c r="E130" s="1" t="str">
        <f t="shared" ref="E130:E193" si="11">TEXT(A130,"yyyy")</f>
        <v>2024</v>
      </c>
      <c r="F130" t="s">
        <v>13</v>
      </c>
      <c r="G130" s="2">
        <v>974</v>
      </c>
      <c r="H130" s="2">
        <v>985</v>
      </c>
      <c r="I130" s="2">
        <v>972.6</v>
      </c>
      <c r="J130" s="2">
        <v>971.8</v>
      </c>
      <c r="K130" s="2">
        <v>976.95</v>
      </c>
      <c r="L130" s="2">
        <v>977.3</v>
      </c>
      <c r="M130" s="2">
        <v>977.93</v>
      </c>
      <c r="N130" s="2">
        <v>1179</v>
      </c>
      <c r="O130" s="2">
        <v>608.29999999999995</v>
      </c>
      <c r="P130" s="2">
        <v>12755422</v>
      </c>
      <c r="Q130" s="2">
        <v>369601</v>
      </c>
    </row>
    <row r="131" spans="1:17" x14ac:dyDescent="0.25">
      <c r="A131" s="1">
        <v>45558</v>
      </c>
      <c r="B131" s="1" t="str">
        <f t="shared" si="8"/>
        <v>Monday</v>
      </c>
      <c r="C131" s="1" t="str">
        <f t="shared" si="9"/>
        <v>Sep</v>
      </c>
      <c r="D131" s="1" t="str">
        <f t="shared" si="10"/>
        <v>Q3</v>
      </c>
      <c r="E131" s="1" t="str">
        <f t="shared" si="11"/>
        <v>2024</v>
      </c>
      <c r="F131" t="s">
        <v>13</v>
      </c>
      <c r="G131" s="2">
        <v>973.5</v>
      </c>
      <c r="H131" s="2">
        <v>979.2</v>
      </c>
      <c r="I131" s="2">
        <v>966.05</v>
      </c>
      <c r="J131" s="2">
        <v>970.85</v>
      </c>
      <c r="K131" s="2">
        <v>972.3</v>
      </c>
      <c r="L131" s="2">
        <v>971.8</v>
      </c>
      <c r="M131" s="2">
        <v>972.23</v>
      </c>
      <c r="N131" s="2">
        <v>1179</v>
      </c>
      <c r="O131" s="2">
        <v>608.29999999999995</v>
      </c>
      <c r="P131" s="2">
        <v>10254297</v>
      </c>
      <c r="Q131" s="2">
        <v>260064</v>
      </c>
    </row>
    <row r="132" spans="1:17" x14ac:dyDescent="0.25">
      <c r="A132" s="1">
        <v>45555</v>
      </c>
      <c r="B132" s="1" t="str">
        <f t="shared" si="8"/>
        <v>Friday</v>
      </c>
      <c r="C132" s="1" t="str">
        <f t="shared" si="9"/>
        <v>Sep</v>
      </c>
      <c r="D132" s="1" t="str">
        <f t="shared" si="10"/>
        <v>Q3</v>
      </c>
      <c r="E132" s="1" t="str">
        <f t="shared" si="11"/>
        <v>2024</v>
      </c>
      <c r="F132" t="s">
        <v>13</v>
      </c>
      <c r="G132" s="2">
        <v>967</v>
      </c>
      <c r="H132" s="2">
        <v>977.5</v>
      </c>
      <c r="I132" s="2">
        <v>949.2</v>
      </c>
      <c r="J132" s="2">
        <v>967</v>
      </c>
      <c r="K132" s="2">
        <v>971.3</v>
      </c>
      <c r="L132" s="2">
        <v>970.85</v>
      </c>
      <c r="M132" s="2">
        <v>968.78</v>
      </c>
      <c r="N132" s="2">
        <v>1179</v>
      </c>
      <c r="O132" s="2">
        <v>608.29999999999995</v>
      </c>
      <c r="P132" s="2">
        <v>16764981</v>
      </c>
      <c r="Q132" s="2">
        <v>345069</v>
      </c>
    </row>
    <row r="133" spans="1:17" x14ac:dyDescent="0.25">
      <c r="A133" s="1">
        <v>45554</v>
      </c>
      <c r="B133" s="1" t="str">
        <f t="shared" si="8"/>
        <v>Thursday</v>
      </c>
      <c r="C133" s="1" t="str">
        <f t="shared" si="9"/>
        <v>Sep</v>
      </c>
      <c r="D133" s="1" t="str">
        <f t="shared" si="10"/>
        <v>Q3</v>
      </c>
      <c r="E133" s="1" t="str">
        <f t="shared" si="11"/>
        <v>2024</v>
      </c>
      <c r="F133" t="s">
        <v>13</v>
      </c>
      <c r="G133" s="2">
        <v>970.4</v>
      </c>
      <c r="H133" s="2">
        <v>978.95</v>
      </c>
      <c r="I133" s="2">
        <v>956.35</v>
      </c>
      <c r="J133" s="2">
        <v>962.05</v>
      </c>
      <c r="K133" s="2">
        <v>969.95</v>
      </c>
      <c r="L133" s="2">
        <v>967</v>
      </c>
      <c r="M133" s="2">
        <v>966.21</v>
      </c>
      <c r="N133" s="2">
        <v>1179</v>
      </c>
      <c r="O133" s="2">
        <v>608.29999999999995</v>
      </c>
      <c r="P133" s="2">
        <v>13466770</v>
      </c>
      <c r="Q133" s="2">
        <v>318723</v>
      </c>
    </row>
    <row r="134" spans="1:17" x14ac:dyDescent="0.25">
      <c r="A134" s="1">
        <v>45553</v>
      </c>
      <c r="B134" s="1" t="str">
        <f t="shared" si="8"/>
        <v>Wednesday</v>
      </c>
      <c r="C134" s="1" t="str">
        <f t="shared" si="9"/>
        <v>Sep</v>
      </c>
      <c r="D134" s="1" t="str">
        <f t="shared" si="10"/>
        <v>Q3</v>
      </c>
      <c r="E134" s="1" t="str">
        <f t="shared" si="11"/>
        <v>2024</v>
      </c>
      <c r="F134" t="s">
        <v>13</v>
      </c>
      <c r="G134" s="2">
        <v>978.2</v>
      </c>
      <c r="H134" s="2">
        <v>983.7</v>
      </c>
      <c r="I134" s="2">
        <v>957.15</v>
      </c>
      <c r="J134" s="2">
        <v>974.95</v>
      </c>
      <c r="K134" s="2">
        <v>959.2</v>
      </c>
      <c r="L134" s="2">
        <v>962.05</v>
      </c>
      <c r="M134" s="2">
        <v>968.76</v>
      </c>
      <c r="N134" s="2">
        <v>1179</v>
      </c>
      <c r="O134" s="2">
        <v>608.29999999999995</v>
      </c>
      <c r="P134" s="2">
        <v>12044431</v>
      </c>
      <c r="Q134" s="2">
        <v>241634</v>
      </c>
    </row>
    <row r="135" spans="1:17" x14ac:dyDescent="0.25">
      <c r="A135" s="1">
        <v>45552</v>
      </c>
      <c r="B135" s="1" t="str">
        <f t="shared" si="8"/>
        <v>Tuesday</v>
      </c>
      <c r="C135" s="1" t="str">
        <f t="shared" si="9"/>
        <v>Sep</v>
      </c>
      <c r="D135" s="1" t="str">
        <f t="shared" si="10"/>
        <v>Q3</v>
      </c>
      <c r="E135" s="1" t="str">
        <f t="shared" si="11"/>
        <v>2024</v>
      </c>
      <c r="F135" t="s">
        <v>13</v>
      </c>
      <c r="G135" s="2">
        <v>995</v>
      </c>
      <c r="H135" s="2">
        <v>995</v>
      </c>
      <c r="I135" s="2">
        <v>960</v>
      </c>
      <c r="J135" s="2">
        <v>988.4</v>
      </c>
      <c r="K135" s="2">
        <v>975</v>
      </c>
      <c r="L135" s="2">
        <v>974.95</v>
      </c>
      <c r="M135" s="2">
        <v>969.17</v>
      </c>
      <c r="N135" s="2">
        <v>1179</v>
      </c>
      <c r="O135" s="2">
        <v>608.29999999999995</v>
      </c>
      <c r="P135" s="2">
        <v>44516613</v>
      </c>
      <c r="Q135" s="2">
        <v>518729</v>
      </c>
    </row>
    <row r="136" spans="1:17" x14ac:dyDescent="0.25">
      <c r="A136" s="1">
        <v>45551</v>
      </c>
      <c r="B136" s="1" t="str">
        <f t="shared" si="8"/>
        <v>Monday</v>
      </c>
      <c r="C136" s="1" t="str">
        <f t="shared" si="9"/>
        <v>Sep</v>
      </c>
      <c r="D136" s="1" t="str">
        <f t="shared" si="10"/>
        <v>Q3</v>
      </c>
      <c r="E136" s="1" t="str">
        <f t="shared" si="11"/>
        <v>2024</v>
      </c>
      <c r="F136" t="s">
        <v>13</v>
      </c>
      <c r="G136" s="2">
        <v>997</v>
      </c>
      <c r="H136" s="2">
        <v>999.9</v>
      </c>
      <c r="I136" s="2">
        <v>984.5</v>
      </c>
      <c r="J136" s="2">
        <v>992.1</v>
      </c>
      <c r="K136" s="2">
        <v>988.45</v>
      </c>
      <c r="L136" s="2">
        <v>988.4</v>
      </c>
      <c r="M136" s="2">
        <v>990.38</v>
      </c>
      <c r="N136" s="2">
        <v>1179</v>
      </c>
      <c r="O136" s="2">
        <v>608.29999999999995</v>
      </c>
      <c r="P136" s="2">
        <v>5836274</v>
      </c>
      <c r="Q136" s="2">
        <v>189546</v>
      </c>
    </row>
    <row r="137" spans="1:17" x14ac:dyDescent="0.25">
      <c r="A137" s="1">
        <v>45548</v>
      </c>
      <c r="B137" s="1" t="str">
        <f t="shared" si="8"/>
        <v>Friday</v>
      </c>
      <c r="C137" s="1" t="str">
        <f t="shared" si="9"/>
        <v>Sep</v>
      </c>
      <c r="D137" s="1" t="str">
        <f t="shared" si="10"/>
        <v>Q3</v>
      </c>
      <c r="E137" s="1" t="str">
        <f t="shared" si="11"/>
        <v>2024</v>
      </c>
      <c r="F137" t="s">
        <v>13</v>
      </c>
      <c r="G137" s="2">
        <v>994.9</v>
      </c>
      <c r="H137" s="2">
        <v>1006</v>
      </c>
      <c r="I137" s="2">
        <v>988</v>
      </c>
      <c r="J137" s="2">
        <v>986.15</v>
      </c>
      <c r="K137" s="2">
        <v>991.85</v>
      </c>
      <c r="L137" s="2">
        <v>992.1</v>
      </c>
      <c r="M137" s="2">
        <v>994.82</v>
      </c>
      <c r="N137" s="2">
        <v>1179</v>
      </c>
      <c r="O137" s="2">
        <v>608.29999999999995</v>
      </c>
      <c r="P137" s="2">
        <v>13203676</v>
      </c>
      <c r="Q137" s="2">
        <v>330078</v>
      </c>
    </row>
    <row r="138" spans="1:17" x14ac:dyDescent="0.25">
      <c r="A138" s="1">
        <v>45547</v>
      </c>
      <c r="B138" s="1" t="str">
        <f t="shared" si="8"/>
        <v>Thursday</v>
      </c>
      <c r="C138" s="1" t="str">
        <f t="shared" si="9"/>
        <v>Sep</v>
      </c>
      <c r="D138" s="1" t="str">
        <f t="shared" si="10"/>
        <v>Q3</v>
      </c>
      <c r="E138" s="1" t="str">
        <f t="shared" si="11"/>
        <v>2024</v>
      </c>
      <c r="F138" t="s">
        <v>13</v>
      </c>
      <c r="G138" s="2">
        <v>976.3</v>
      </c>
      <c r="H138" s="2">
        <v>988</v>
      </c>
      <c r="I138" s="2">
        <v>958</v>
      </c>
      <c r="J138" s="2">
        <v>976.3</v>
      </c>
      <c r="K138" s="2">
        <v>984</v>
      </c>
      <c r="L138" s="2">
        <v>986.15</v>
      </c>
      <c r="M138" s="2">
        <v>973.48</v>
      </c>
      <c r="N138" s="2">
        <v>1179</v>
      </c>
      <c r="O138" s="2">
        <v>608.29999999999995</v>
      </c>
      <c r="P138" s="2">
        <v>25675836</v>
      </c>
      <c r="Q138" s="2">
        <v>612687</v>
      </c>
    </row>
    <row r="139" spans="1:17" x14ac:dyDescent="0.25">
      <c r="A139" s="1">
        <v>45546</v>
      </c>
      <c r="B139" s="1" t="str">
        <f t="shared" si="8"/>
        <v>Wednesday</v>
      </c>
      <c r="C139" s="1" t="str">
        <f t="shared" si="9"/>
        <v>Sep</v>
      </c>
      <c r="D139" s="1" t="str">
        <f t="shared" si="10"/>
        <v>Q3</v>
      </c>
      <c r="E139" s="1" t="str">
        <f t="shared" si="11"/>
        <v>2024</v>
      </c>
      <c r="F139" t="s">
        <v>13</v>
      </c>
      <c r="G139" s="2">
        <v>1000</v>
      </c>
      <c r="H139" s="2">
        <v>1011.55</v>
      </c>
      <c r="I139" s="2">
        <v>971.25</v>
      </c>
      <c r="J139" s="2">
        <v>1035.8</v>
      </c>
      <c r="K139" s="2">
        <v>976.4</v>
      </c>
      <c r="L139" s="2">
        <v>976.3</v>
      </c>
      <c r="M139" s="2">
        <v>983.79</v>
      </c>
      <c r="N139" s="2">
        <v>1179</v>
      </c>
      <c r="O139" s="2">
        <v>608.29999999999995</v>
      </c>
      <c r="P139" s="2">
        <v>36140411</v>
      </c>
      <c r="Q139" s="2">
        <v>1060328</v>
      </c>
    </row>
    <row r="140" spans="1:17" x14ac:dyDescent="0.25">
      <c r="A140" s="1">
        <v>45545</v>
      </c>
      <c r="B140" s="1" t="str">
        <f t="shared" si="8"/>
        <v>Tuesday</v>
      </c>
      <c r="C140" s="1" t="str">
        <f t="shared" si="9"/>
        <v>Sep</v>
      </c>
      <c r="D140" s="1" t="str">
        <f t="shared" si="10"/>
        <v>Q3</v>
      </c>
      <c r="E140" s="1" t="str">
        <f t="shared" si="11"/>
        <v>2024</v>
      </c>
      <c r="F140" t="s">
        <v>13</v>
      </c>
      <c r="G140" s="2">
        <v>1049</v>
      </c>
      <c r="H140" s="2">
        <v>1049</v>
      </c>
      <c r="I140" s="2">
        <v>1032.2</v>
      </c>
      <c r="J140" s="2">
        <v>1038.7</v>
      </c>
      <c r="K140" s="2">
        <v>1035</v>
      </c>
      <c r="L140" s="2">
        <v>1035.8</v>
      </c>
      <c r="M140" s="2">
        <v>1038.72</v>
      </c>
      <c r="N140" s="2">
        <v>1179</v>
      </c>
      <c r="O140" s="2">
        <v>608.29999999999995</v>
      </c>
      <c r="P140" s="2">
        <v>6919238</v>
      </c>
      <c r="Q140" s="2">
        <v>254751</v>
      </c>
    </row>
    <row r="141" spans="1:17" x14ac:dyDescent="0.25">
      <c r="A141" s="1">
        <v>45544</v>
      </c>
      <c r="B141" s="1" t="str">
        <f t="shared" si="8"/>
        <v>Monday</v>
      </c>
      <c r="C141" s="1" t="str">
        <f t="shared" si="9"/>
        <v>Sep</v>
      </c>
      <c r="D141" s="1" t="str">
        <f t="shared" si="10"/>
        <v>Q3</v>
      </c>
      <c r="E141" s="1" t="str">
        <f t="shared" si="11"/>
        <v>2024</v>
      </c>
      <c r="F141" t="s">
        <v>13</v>
      </c>
      <c r="G141" s="2">
        <v>1049.3499999999999</v>
      </c>
      <c r="H141" s="2">
        <v>1049.95</v>
      </c>
      <c r="I141" s="2">
        <v>1026.25</v>
      </c>
      <c r="J141" s="2">
        <v>1049.3499999999999</v>
      </c>
      <c r="K141" s="2">
        <v>1040.8</v>
      </c>
      <c r="L141" s="2">
        <v>1038.7</v>
      </c>
      <c r="M141" s="2">
        <v>1035.04</v>
      </c>
      <c r="N141" s="2">
        <v>1179</v>
      </c>
      <c r="O141" s="2">
        <v>608.29999999999995</v>
      </c>
      <c r="P141" s="2">
        <v>7206054</v>
      </c>
      <c r="Q141" s="2">
        <v>250411</v>
      </c>
    </row>
    <row r="142" spans="1:17" x14ac:dyDescent="0.25">
      <c r="A142" s="1">
        <v>45541</v>
      </c>
      <c r="B142" s="1" t="str">
        <f t="shared" si="8"/>
        <v>Friday</v>
      </c>
      <c r="C142" s="1" t="str">
        <f t="shared" si="9"/>
        <v>Sep</v>
      </c>
      <c r="D142" s="1" t="str">
        <f t="shared" si="10"/>
        <v>Q3</v>
      </c>
      <c r="E142" s="1" t="str">
        <f t="shared" si="11"/>
        <v>2024</v>
      </c>
      <c r="F142" t="s">
        <v>13</v>
      </c>
      <c r="G142" s="2">
        <v>1068.8</v>
      </c>
      <c r="H142" s="2">
        <v>1072.95</v>
      </c>
      <c r="I142" s="2">
        <v>1040.5</v>
      </c>
      <c r="J142" s="2">
        <v>1069.1500000000001</v>
      </c>
      <c r="K142" s="2">
        <v>1050.6500000000001</v>
      </c>
      <c r="L142" s="2">
        <v>1049.3499999999999</v>
      </c>
      <c r="M142" s="2">
        <v>1051.98</v>
      </c>
      <c r="N142" s="2">
        <v>1179</v>
      </c>
      <c r="O142" s="2">
        <v>605.6</v>
      </c>
      <c r="P142" s="2">
        <v>8717377</v>
      </c>
      <c r="Q142" s="2">
        <v>307427</v>
      </c>
    </row>
    <row r="143" spans="1:17" x14ac:dyDescent="0.25">
      <c r="A143" s="1">
        <v>45540</v>
      </c>
      <c r="B143" s="1" t="str">
        <f t="shared" si="8"/>
        <v>Thursday</v>
      </c>
      <c r="C143" s="1" t="str">
        <f t="shared" si="9"/>
        <v>Sep</v>
      </c>
      <c r="D143" s="1" t="str">
        <f t="shared" si="10"/>
        <v>Q3</v>
      </c>
      <c r="E143" s="1" t="str">
        <f t="shared" si="11"/>
        <v>2024</v>
      </c>
      <c r="F143" t="s">
        <v>13</v>
      </c>
      <c r="G143" s="2">
        <v>1081</v>
      </c>
      <c r="H143" s="2">
        <v>1085.8499999999999</v>
      </c>
      <c r="I143" s="2">
        <v>1066.95</v>
      </c>
      <c r="J143" s="2">
        <v>1080.45</v>
      </c>
      <c r="K143" s="2">
        <v>1068.7</v>
      </c>
      <c r="L143" s="2">
        <v>1069.1500000000001</v>
      </c>
      <c r="M143" s="2">
        <v>1074.8699999999999</v>
      </c>
      <c r="N143" s="2">
        <v>1179</v>
      </c>
      <c r="O143" s="2">
        <v>605.6</v>
      </c>
      <c r="P143" s="2">
        <v>7900593</v>
      </c>
      <c r="Q143" s="2">
        <v>224556</v>
      </c>
    </row>
    <row r="144" spans="1:17" x14ac:dyDescent="0.25">
      <c r="A144" s="1">
        <v>45539</v>
      </c>
      <c r="B144" s="1" t="str">
        <f t="shared" si="8"/>
        <v>Wednesday</v>
      </c>
      <c r="C144" s="1" t="str">
        <f t="shared" si="9"/>
        <v>Sep</v>
      </c>
      <c r="D144" s="1" t="str">
        <f t="shared" si="10"/>
        <v>Q3</v>
      </c>
      <c r="E144" s="1" t="str">
        <f t="shared" si="11"/>
        <v>2024</v>
      </c>
      <c r="F144" t="s">
        <v>13</v>
      </c>
      <c r="G144" s="2">
        <v>1079</v>
      </c>
      <c r="H144" s="2">
        <v>1085</v>
      </c>
      <c r="I144" s="2">
        <v>1072.0999999999999</v>
      </c>
      <c r="J144" s="2">
        <v>1085.0999999999999</v>
      </c>
      <c r="K144" s="2">
        <v>1081</v>
      </c>
      <c r="L144" s="2">
        <v>1080.45</v>
      </c>
      <c r="M144" s="2">
        <v>1078.18</v>
      </c>
      <c r="N144" s="2">
        <v>1179</v>
      </c>
      <c r="O144" s="2">
        <v>605.6</v>
      </c>
      <c r="P144" s="2">
        <v>4665908</v>
      </c>
      <c r="Q144" s="2">
        <v>140011</v>
      </c>
    </row>
    <row r="145" spans="1:17" x14ac:dyDescent="0.25">
      <c r="A145" s="1">
        <v>45538</v>
      </c>
      <c r="B145" s="1" t="str">
        <f t="shared" si="8"/>
        <v>Tuesday</v>
      </c>
      <c r="C145" s="1" t="str">
        <f t="shared" si="9"/>
        <v>Sep</v>
      </c>
      <c r="D145" s="1" t="str">
        <f t="shared" si="10"/>
        <v>Q3</v>
      </c>
      <c r="E145" s="1" t="str">
        <f t="shared" si="11"/>
        <v>2024</v>
      </c>
      <c r="F145" t="s">
        <v>13</v>
      </c>
      <c r="G145" s="2">
        <v>1097.5999999999999</v>
      </c>
      <c r="H145" s="2">
        <v>1100</v>
      </c>
      <c r="I145" s="2">
        <v>1082.2</v>
      </c>
      <c r="J145" s="2">
        <v>1092.6500000000001</v>
      </c>
      <c r="K145" s="2">
        <v>1086.55</v>
      </c>
      <c r="L145" s="2">
        <v>1085.0999999999999</v>
      </c>
      <c r="M145" s="2">
        <v>1089.2</v>
      </c>
      <c r="N145" s="2">
        <v>1179</v>
      </c>
      <c r="O145" s="2">
        <v>605.6</v>
      </c>
      <c r="P145" s="2">
        <v>5088731</v>
      </c>
      <c r="Q145" s="2">
        <v>164019</v>
      </c>
    </row>
    <row r="146" spans="1:17" x14ac:dyDescent="0.25">
      <c r="A146" s="1">
        <v>45537</v>
      </c>
      <c r="B146" s="1" t="str">
        <f t="shared" si="8"/>
        <v>Monday</v>
      </c>
      <c r="C146" s="1" t="str">
        <f t="shared" si="9"/>
        <v>Aug</v>
      </c>
      <c r="D146" s="1" t="str">
        <f t="shared" si="10"/>
        <v>Q3</v>
      </c>
      <c r="E146" s="1" t="str">
        <f t="shared" si="11"/>
        <v>2024</v>
      </c>
      <c r="F146" t="s">
        <v>13</v>
      </c>
      <c r="G146" s="2">
        <v>1105</v>
      </c>
      <c r="H146" s="2">
        <v>1105</v>
      </c>
      <c r="I146" s="2">
        <v>1087.3499999999999</v>
      </c>
      <c r="J146" s="2">
        <v>1111.3499999999999</v>
      </c>
      <c r="K146" s="2">
        <v>1093</v>
      </c>
      <c r="L146" s="2">
        <v>1092.6500000000001</v>
      </c>
      <c r="M146" s="2">
        <v>1094.25</v>
      </c>
      <c r="N146" s="2">
        <v>1179</v>
      </c>
      <c r="O146" s="2">
        <v>605.6</v>
      </c>
      <c r="P146" s="2">
        <v>8116675</v>
      </c>
      <c r="Q146" s="2">
        <v>206392</v>
      </c>
    </row>
    <row r="147" spans="1:17" x14ac:dyDescent="0.25">
      <c r="A147" s="1">
        <v>45534</v>
      </c>
      <c r="B147" s="1" t="str">
        <f t="shared" si="8"/>
        <v>Friday</v>
      </c>
      <c r="C147" s="1" t="str">
        <f t="shared" si="9"/>
        <v>Aug</v>
      </c>
      <c r="D147" s="1" t="str">
        <f t="shared" si="10"/>
        <v>Q3</v>
      </c>
      <c r="E147" s="1" t="str">
        <f t="shared" si="11"/>
        <v>2024</v>
      </c>
      <c r="F147" t="s">
        <v>13</v>
      </c>
      <c r="G147" s="2">
        <v>1113.95</v>
      </c>
      <c r="H147" s="2">
        <v>1115</v>
      </c>
      <c r="I147" s="2">
        <v>1097.45</v>
      </c>
      <c r="J147" s="2">
        <v>1121.6500000000001</v>
      </c>
      <c r="K147" s="2">
        <v>1109</v>
      </c>
      <c r="L147" s="2">
        <v>1111.3499999999999</v>
      </c>
      <c r="M147" s="2">
        <v>1109.49</v>
      </c>
      <c r="N147" s="2">
        <v>1179</v>
      </c>
      <c r="O147" s="2">
        <v>599.04999999999995</v>
      </c>
      <c r="P147" s="2">
        <v>17647545</v>
      </c>
      <c r="Q147" s="2">
        <v>276947</v>
      </c>
    </row>
    <row r="148" spans="1:17" x14ac:dyDescent="0.25">
      <c r="A148" s="1">
        <v>45533</v>
      </c>
      <c r="B148" s="1" t="str">
        <f t="shared" si="8"/>
        <v>Thursday</v>
      </c>
      <c r="C148" s="1" t="str">
        <f t="shared" si="9"/>
        <v>Aug</v>
      </c>
      <c r="D148" s="1" t="str">
        <f t="shared" si="10"/>
        <v>Q3</v>
      </c>
      <c r="E148" s="1" t="str">
        <f t="shared" si="11"/>
        <v>2024</v>
      </c>
      <c r="F148" t="s">
        <v>13</v>
      </c>
      <c r="G148" s="2">
        <v>1079.05</v>
      </c>
      <c r="H148" s="2">
        <v>1142</v>
      </c>
      <c r="I148" s="2">
        <v>1066</v>
      </c>
      <c r="J148" s="2">
        <v>1074.55</v>
      </c>
      <c r="K148" s="2">
        <v>1112.9000000000001</v>
      </c>
      <c r="L148" s="2">
        <v>1121.6500000000001</v>
      </c>
      <c r="M148" s="2">
        <v>1109.08</v>
      </c>
      <c r="N148" s="2">
        <v>1179</v>
      </c>
      <c r="O148" s="2">
        <v>599.04999999999995</v>
      </c>
      <c r="P148" s="2">
        <v>40658159</v>
      </c>
      <c r="Q148" s="2">
        <v>410027</v>
      </c>
    </row>
    <row r="149" spans="1:17" x14ac:dyDescent="0.25">
      <c r="A149" s="1">
        <v>45532</v>
      </c>
      <c r="B149" s="1" t="str">
        <f t="shared" si="8"/>
        <v>Wednesday</v>
      </c>
      <c r="C149" s="1" t="str">
        <f t="shared" si="9"/>
        <v>Aug</v>
      </c>
      <c r="D149" s="1" t="str">
        <f t="shared" si="10"/>
        <v>Q3</v>
      </c>
      <c r="E149" s="1" t="str">
        <f t="shared" si="11"/>
        <v>2024</v>
      </c>
      <c r="F149" t="s">
        <v>13</v>
      </c>
      <c r="G149" s="2">
        <v>1082.95</v>
      </c>
      <c r="H149" s="2">
        <v>1088.7</v>
      </c>
      <c r="I149" s="2">
        <v>1070.0999999999999</v>
      </c>
      <c r="J149" s="2">
        <v>1077.25</v>
      </c>
      <c r="K149" s="2">
        <v>1073.8</v>
      </c>
      <c r="L149" s="2">
        <v>1074.55</v>
      </c>
      <c r="M149" s="2">
        <v>1078.2</v>
      </c>
      <c r="N149" s="2">
        <v>1179</v>
      </c>
      <c r="O149" s="2">
        <v>599.04999999999995</v>
      </c>
      <c r="P149" s="2">
        <v>8145376</v>
      </c>
      <c r="Q149" s="2">
        <v>145258</v>
      </c>
    </row>
    <row r="150" spans="1:17" x14ac:dyDescent="0.25">
      <c r="A150" s="1">
        <v>45531</v>
      </c>
      <c r="B150" s="1" t="str">
        <f t="shared" si="8"/>
        <v>Tuesday</v>
      </c>
      <c r="C150" s="1" t="str">
        <f t="shared" si="9"/>
        <v>Aug</v>
      </c>
      <c r="D150" s="1" t="str">
        <f t="shared" si="10"/>
        <v>Q3</v>
      </c>
      <c r="E150" s="1" t="str">
        <f t="shared" si="11"/>
        <v>2024</v>
      </c>
      <c r="F150" t="s">
        <v>13</v>
      </c>
      <c r="G150" s="2">
        <v>1093.05</v>
      </c>
      <c r="H150" s="2">
        <v>1096.6500000000001</v>
      </c>
      <c r="I150" s="2">
        <v>1075</v>
      </c>
      <c r="J150" s="2">
        <v>1092.4000000000001</v>
      </c>
      <c r="K150" s="2">
        <v>1079.9000000000001</v>
      </c>
      <c r="L150" s="2">
        <v>1077.25</v>
      </c>
      <c r="M150" s="2">
        <v>1083.48</v>
      </c>
      <c r="N150" s="2">
        <v>1179</v>
      </c>
      <c r="O150" s="2">
        <v>599.04999999999995</v>
      </c>
      <c r="P150" s="2">
        <v>8813305</v>
      </c>
      <c r="Q150" s="2">
        <v>188735</v>
      </c>
    </row>
    <row r="151" spans="1:17" x14ac:dyDescent="0.25">
      <c r="A151" s="1">
        <v>45530</v>
      </c>
      <c r="B151" s="1" t="str">
        <f t="shared" si="8"/>
        <v>Monday</v>
      </c>
      <c r="C151" s="1" t="str">
        <f t="shared" si="9"/>
        <v>Aug</v>
      </c>
      <c r="D151" s="1" t="str">
        <f t="shared" si="10"/>
        <v>Q3</v>
      </c>
      <c r="E151" s="1" t="str">
        <f t="shared" si="11"/>
        <v>2024</v>
      </c>
      <c r="F151" t="s">
        <v>13</v>
      </c>
      <c r="G151" s="2">
        <v>1089</v>
      </c>
      <c r="H151" s="2">
        <v>1103.3499999999999</v>
      </c>
      <c r="I151" s="2">
        <v>1082.8499999999999</v>
      </c>
      <c r="J151" s="2">
        <v>1085.1500000000001</v>
      </c>
      <c r="K151" s="2">
        <v>1094.4000000000001</v>
      </c>
      <c r="L151" s="2">
        <v>1092.4000000000001</v>
      </c>
      <c r="M151" s="2">
        <v>1095.1500000000001</v>
      </c>
      <c r="N151" s="2">
        <v>1179</v>
      </c>
      <c r="O151" s="2">
        <v>599.04999999999995</v>
      </c>
      <c r="P151" s="2">
        <v>9415039</v>
      </c>
      <c r="Q151" s="2">
        <v>206672</v>
      </c>
    </row>
    <row r="152" spans="1:17" x14ac:dyDescent="0.25">
      <c r="A152" s="1">
        <v>45527</v>
      </c>
      <c r="B152" s="1" t="str">
        <f t="shared" si="8"/>
        <v>Friday</v>
      </c>
      <c r="C152" s="1" t="str">
        <f t="shared" si="9"/>
        <v>Aug</v>
      </c>
      <c r="D152" s="1" t="str">
        <f t="shared" si="10"/>
        <v>Q3</v>
      </c>
      <c r="E152" s="1" t="str">
        <f t="shared" si="11"/>
        <v>2024</v>
      </c>
      <c r="F152" t="s">
        <v>13</v>
      </c>
      <c r="G152" s="2">
        <v>1073</v>
      </c>
      <c r="H152" s="2">
        <v>1092.5999999999999</v>
      </c>
      <c r="I152" s="2">
        <v>1071</v>
      </c>
      <c r="J152" s="2">
        <v>1068.45</v>
      </c>
      <c r="K152" s="2">
        <v>1085.3499999999999</v>
      </c>
      <c r="L152" s="2">
        <v>1085.1500000000001</v>
      </c>
      <c r="M152" s="2">
        <v>1084.19</v>
      </c>
      <c r="N152" s="2">
        <v>1179</v>
      </c>
      <c r="O152" s="2">
        <v>593.29999999999995</v>
      </c>
      <c r="P152" s="2">
        <v>10179655</v>
      </c>
      <c r="Q152" s="2">
        <v>212611</v>
      </c>
    </row>
    <row r="153" spans="1:17" x14ac:dyDescent="0.25">
      <c r="A153" s="1">
        <v>45526</v>
      </c>
      <c r="B153" s="1" t="str">
        <f t="shared" si="8"/>
        <v>Thursday</v>
      </c>
      <c r="C153" s="1" t="str">
        <f t="shared" si="9"/>
        <v>Aug</v>
      </c>
      <c r="D153" s="1" t="str">
        <f t="shared" si="10"/>
        <v>Q3</v>
      </c>
      <c r="E153" s="1" t="str">
        <f t="shared" si="11"/>
        <v>2024</v>
      </c>
      <c r="F153" t="s">
        <v>13</v>
      </c>
      <c r="G153" s="2">
        <v>1090</v>
      </c>
      <c r="H153" s="2">
        <v>1094.75</v>
      </c>
      <c r="I153" s="2">
        <v>1064.95</v>
      </c>
      <c r="J153" s="2">
        <v>1085.2</v>
      </c>
      <c r="K153" s="2">
        <v>1072</v>
      </c>
      <c r="L153" s="2">
        <v>1068.45</v>
      </c>
      <c r="M153" s="2">
        <v>1073.05</v>
      </c>
      <c r="N153" s="2">
        <v>1179</v>
      </c>
      <c r="O153" s="2">
        <v>593.29999999999995</v>
      </c>
      <c r="P153" s="2">
        <v>9377476</v>
      </c>
      <c r="Q153" s="2">
        <v>213793</v>
      </c>
    </row>
    <row r="154" spans="1:17" x14ac:dyDescent="0.25">
      <c r="A154" s="1">
        <v>45525</v>
      </c>
      <c r="B154" s="1" t="str">
        <f t="shared" si="8"/>
        <v>Wednesday</v>
      </c>
      <c r="C154" s="1" t="str">
        <f t="shared" si="9"/>
        <v>Aug</v>
      </c>
      <c r="D154" s="1" t="str">
        <f t="shared" si="10"/>
        <v>Q3</v>
      </c>
      <c r="E154" s="1" t="str">
        <f t="shared" si="11"/>
        <v>2024</v>
      </c>
      <c r="F154" t="s">
        <v>13</v>
      </c>
      <c r="G154" s="2">
        <v>1089</v>
      </c>
      <c r="H154" s="2">
        <v>1095.3</v>
      </c>
      <c r="I154" s="2">
        <v>1083.3</v>
      </c>
      <c r="J154" s="2">
        <v>1086.9000000000001</v>
      </c>
      <c r="K154" s="2">
        <v>1086.8499999999999</v>
      </c>
      <c r="L154" s="2">
        <v>1085.2</v>
      </c>
      <c r="M154" s="2">
        <v>1087.29</v>
      </c>
      <c r="N154" s="2">
        <v>1179</v>
      </c>
      <c r="O154" s="2">
        <v>593.29999999999995</v>
      </c>
      <c r="P154" s="2">
        <v>4869876</v>
      </c>
      <c r="Q154" s="2">
        <v>140012</v>
      </c>
    </row>
    <row r="155" spans="1:17" x14ac:dyDescent="0.25">
      <c r="A155" s="1">
        <v>45524</v>
      </c>
      <c r="B155" s="1" t="str">
        <f t="shared" si="8"/>
        <v>Tuesday</v>
      </c>
      <c r="C155" s="1" t="str">
        <f t="shared" si="9"/>
        <v>Aug</v>
      </c>
      <c r="D155" s="1" t="str">
        <f t="shared" si="10"/>
        <v>Q3</v>
      </c>
      <c r="E155" s="1" t="str">
        <f t="shared" si="11"/>
        <v>2024</v>
      </c>
      <c r="F155" t="s">
        <v>13</v>
      </c>
      <c r="G155" s="2">
        <v>1097</v>
      </c>
      <c r="H155" s="2">
        <v>1098.05</v>
      </c>
      <c r="I155" s="2">
        <v>1082.05</v>
      </c>
      <c r="J155" s="2">
        <v>1087.7</v>
      </c>
      <c r="K155" s="2">
        <v>1087</v>
      </c>
      <c r="L155" s="2">
        <v>1086.9000000000001</v>
      </c>
      <c r="M155" s="2">
        <v>1086.98</v>
      </c>
      <c r="N155" s="2">
        <v>1179</v>
      </c>
      <c r="O155" s="2">
        <v>593.29999999999995</v>
      </c>
      <c r="P155" s="2">
        <v>5625723</v>
      </c>
      <c r="Q155" s="2">
        <v>152463</v>
      </c>
    </row>
    <row r="156" spans="1:17" x14ac:dyDescent="0.25">
      <c r="A156" s="1">
        <v>45523</v>
      </c>
      <c r="B156" s="1" t="str">
        <f t="shared" si="8"/>
        <v>Monday</v>
      </c>
      <c r="C156" s="1" t="str">
        <f t="shared" si="9"/>
        <v>Aug</v>
      </c>
      <c r="D156" s="1" t="str">
        <f t="shared" si="10"/>
        <v>Q3</v>
      </c>
      <c r="E156" s="1" t="str">
        <f t="shared" si="11"/>
        <v>2024</v>
      </c>
      <c r="F156" t="s">
        <v>13</v>
      </c>
      <c r="G156" s="2">
        <v>1105.9000000000001</v>
      </c>
      <c r="H156" s="2">
        <v>1107</v>
      </c>
      <c r="I156" s="2">
        <v>1085</v>
      </c>
      <c r="J156" s="2">
        <v>1098.3499999999999</v>
      </c>
      <c r="K156" s="2">
        <v>1090</v>
      </c>
      <c r="L156" s="2">
        <v>1087.7</v>
      </c>
      <c r="M156" s="2">
        <v>1091.3399999999999</v>
      </c>
      <c r="N156" s="2">
        <v>1179</v>
      </c>
      <c r="O156" s="2">
        <v>593.29999999999995</v>
      </c>
      <c r="P156" s="2">
        <v>6911441</v>
      </c>
      <c r="Q156" s="2">
        <v>215413</v>
      </c>
    </row>
    <row r="157" spans="1:17" x14ac:dyDescent="0.25">
      <c r="A157" s="1">
        <v>45520</v>
      </c>
      <c r="B157" s="1" t="str">
        <f t="shared" si="8"/>
        <v>Friday</v>
      </c>
      <c r="C157" s="1" t="str">
        <f t="shared" si="9"/>
        <v>Aug</v>
      </c>
      <c r="D157" s="1" t="str">
        <f t="shared" si="10"/>
        <v>Q3</v>
      </c>
      <c r="E157" s="1" t="str">
        <f t="shared" si="11"/>
        <v>2024</v>
      </c>
      <c r="F157" t="s">
        <v>13</v>
      </c>
      <c r="G157" s="2">
        <v>1072</v>
      </c>
      <c r="H157" s="2">
        <v>1099.95</v>
      </c>
      <c r="I157" s="2">
        <v>1070</v>
      </c>
      <c r="J157" s="2">
        <v>1062.3499999999999</v>
      </c>
      <c r="K157" s="2">
        <v>1098</v>
      </c>
      <c r="L157" s="2">
        <v>1098.3499999999999</v>
      </c>
      <c r="M157" s="2">
        <v>1088.94</v>
      </c>
      <c r="N157" s="2">
        <v>1179</v>
      </c>
      <c r="O157" s="2">
        <v>593.29999999999995</v>
      </c>
      <c r="P157" s="2">
        <v>11435650</v>
      </c>
      <c r="Q157" s="2">
        <v>359319</v>
      </c>
    </row>
    <row r="158" spans="1:17" x14ac:dyDescent="0.25">
      <c r="A158" s="1">
        <v>45518</v>
      </c>
      <c r="B158" s="1" t="str">
        <f t="shared" si="8"/>
        <v>Wednesday</v>
      </c>
      <c r="C158" s="1" t="str">
        <f t="shared" si="9"/>
        <v>Aug</v>
      </c>
      <c r="D158" s="1" t="str">
        <f t="shared" si="10"/>
        <v>Q3</v>
      </c>
      <c r="E158" s="1" t="str">
        <f t="shared" si="11"/>
        <v>2024</v>
      </c>
      <c r="F158" t="s">
        <v>13</v>
      </c>
      <c r="G158" s="2">
        <v>1057</v>
      </c>
      <c r="H158" s="2">
        <v>1067.05</v>
      </c>
      <c r="I158" s="2">
        <v>1047</v>
      </c>
      <c r="J158" s="2">
        <v>1053.45</v>
      </c>
      <c r="K158" s="2">
        <v>1062.8499999999999</v>
      </c>
      <c r="L158" s="2">
        <v>1062.3499999999999</v>
      </c>
      <c r="M158" s="2">
        <v>1059.22</v>
      </c>
      <c r="N158" s="2">
        <v>1179</v>
      </c>
      <c r="O158" s="2">
        <v>593.29999999999995</v>
      </c>
      <c r="P158" s="2">
        <v>8211830</v>
      </c>
      <c r="Q158" s="2">
        <v>338678</v>
      </c>
    </row>
    <row r="159" spans="1:17" x14ac:dyDescent="0.25">
      <c r="A159" s="1">
        <v>45517</v>
      </c>
      <c r="B159" s="1" t="str">
        <f t="shared" si="8"/>
        <v>Tuesday</v>
      </c>
      <c r="C159" s="1" t="str">
        <f t="shared" si="9"/>
        <v>Aug</v>
      </c>
      <c r="D159" s="1" t="str">
        <f t="shared" si="10"/>
        <v>Q3</v>
      </c>
      <c r="E159" s="1" t="str">
        <f t="shared" si="11"/>
        <v>2024</v>
      </c>
      <c r="F159" t="s">
        <v>13</v>
      </c>
      <c r="G159" s="2">
        <v>1074.8499999999999</v>
      </c>
      <c r="H159" s="2">
        <v>1075.5</v>
      </c>
      <c r="I159" s="2">
        <v>1048.2</v>
      </c>
      <c r="J159" s="2">
        <v>1076.1500000000001</v>
      </c>
      <c r="K159" s="2">
        <v>1056.3499999999999</v>
      </c>
      <c r="L159" s="2">
        <v>1053.45</v>
      </c>
      <c r="M159" s="2">
        <v>1058.44</v>
      </c>
      <c r="N159" s="2">
        <v>1179</v>
      </c>
      <c r="O159" s="2">
        <v>593.29999999999995</v>
      </c>
      <c r="P159" s="2">
        <v>7508231</v>
      </c>
      <c r="Q159" s="2">
        <v>256317</v>
      </c>
    </row>
    <row r="160" spans="1:17" x14ac:dyDescent="0.25">
      <c r="A160" s="1">
        <v>45516</v>
      </c>
      <c r="B160" s="1" t="str">
        <f t="shared" si="8"/>
        <v>Monday</v>
      </c>
      <c r="C160" s="1" t="str">
        <f t="shared" si="9"/>
        <v>Aug</v>
      </c>
      <c r="D160" s="1" t="str">
        <f t="shared" si="10"/>
        <v>Q3</v>
      </c>
      <c r="E160" s="1" t="str">
        <f t="shared" si="11"/>
        <v>2024</v>
      </c>
      <c r="F160" t="s">
        <v>13</v>
      </c>
      <c r="G160" s="2">
        <v>1065</v>
      </c>
      <c r="H160" s="2">
        <v>1079.9000000000001</v>
      </c>
      <c r="I160" s="2">
        <v>1055</v>
      </c>
      <c r="J160" s="2">
        <v>1068.0999999999999</v>
      </c>
      <c r="K160" s="2">
        <v>1075.4000000000001</v>
      </c>
      <c r="L160" s="2">
        <v>1076.1500000000001</v>
      </c>
      <c r="M160" s="2">
        <v>1074.6199999999999</v>
      </c>
      <c r="N160" s="2">
        <v>1179</v>
      </c>
      <c r="O160" s="2">
        <v>593.29999999999995</v>
      </c>
      <c r="P160" s="2">
        <v>11311050</v>
      </c>
      <c r="Q160" s="2">
        <v>283848</v>
      </c>
    </row>
    <row r="161" spans="1:17" x14ac:dyDescent="0.25">
      <c r="A161" s="1">
        <v>45513</v>
      </c>
      <c r="B161" s="1" t="str">
        <f t="shared" si="8"/>
        <v>Friday</v>
      </c>
      <c r="C161" s="1" t="str">
        <f t="shared" si="9"/>
        <v>Aug</v>
      </c>
      <c r="D161" s="1" t="str">
        <f t="shared" si="10"/>
        <v>Q3</v>
      </c>
      <c r="E161" s="1" t="str">
        <f t="shared" si="11"/>
        <v>2024</v>
      </c>
      <c r="F161" t="s">
        <v>13</v>
      </c>
      <c r="G161" s="2">
        <v>1055</v>
      </c>
      <c r="H161" s="2">
        <v>1082.95</v>
      </c>
      <c r="I161" s="2">
        <v>1052.05</v>
      </c>
      <c r="J161" s="2">
        <v>1041.75</v>
      </c>
      <c r="K161" s="2">
        <v>1071</v>
      </c>
      <c r="L161" s="2">
        <v>1068.0999999999999</v>
      </c>
      <c r="M161" s="2">
        <v>1070.33</v>
      </c>
      <c r="N161" s="2">
        <v>1179</v>
      </c>
      <c r="O161" s="2">
        <v>593.29999999999995</v>
      </c>
      <c r="P161" s="2">
        <v>15443008</v>
      </c>
      <c r="Q161" s="2">
        <v>403926</v>
      </c>
    </row>
    <row r="162" spans="1:17" x14ac:dyDescent="0.25">
      <c r="A162" s="1">
        <v>45512</v>
      </c>
      <c r="B162" s="1" t="str">
        <f t="shared" si="8"/>
        <v>Thursday</v>
      </c>
      <c r="C162" s="1" t="str">
        <f t="shared" si="9"/>
        <v>Aug</v>
      </c>
      <c r="D162" s="1" t="str">
        <f t="shared" si="10"/>
        <v>Q3</v>
      </c>
      <c r="E162" s="1" t="str">
        <f t="shared" si="11"/>
        <v>2024</v>
      </c>
      <c r="F162" t="s">
        <v>13</v>
      </c>
      <c r="G162" s="2">
        <v>1034.95</v>
      </c>
      <c r="H162" s="2">
        <v>1056.4000000000001</v>
      </c>
      <c r="I162" s="2">
        <v>1027</v>
      </c>
      <c r="J162" s="2">
        <v>1025.3</v>
      </c>
      <c r="K162" s="2">
        <v>1042</v>
      </c>
      <c r="L162" s="2">
        <v>1041.75</v>
      </c>
      <c r="M162" s="2">
        <v>1043.95</v>
      </c>
      <c r="N162" s="2">
        <v>1179</v>
      </c>
      <c r="O162" s="2">
        <v>593.29999999999995</v>
      </c>
      <c r="P162" s="2">
        <v>19529790</v>
      </c>
      <c r="Q162" s="2">
        <v>398999</v>
      </c>
    </row>
    <row r="163" spans="1:17" x14ac:dyDescent="0.25">
      <c r="A163" s="1">
        <v>45511</v>
      </c>
      <c r="B163" s="1" t="str">
        <f t="shared" si="8"/>
        <v>Wednesday</v>
      </c>
      <c r="C163" s="1" t="str">
        <f t="shared" si="9"/>
        <v>Aug</v>
      </c>
      <c r="D163" s="1" t="str">
        <f t="shared" si="10"/>
        <v>Q3</v>
      </c>
      <c r="E163" s="1" t="str">
        <f t="shared" si="11"/>
        <v>2024</v>
      </c>
      <c r="F163" t="s">
        <v>13</v>
      </c>
      <c r="G163" s="2">
        <v>1036.05</v>
      </c>
      <c r="H163" s="2">
        <v>1040.2</v>
      </c>
      <c r="I163" s="2">
        <v>1015.05</v>
      </c>
      <c r="J163" s="2">
        <v>1013.75</v>
      </c>
      <c r="K163" s="2">
        <v>1027</v>
      </c>
      <c r="L163" s="2">
        <v>1025.3</v>
      </c>
      <c r="M163" s="2">
        <v>1022.17</v>
      </c>
      <c r="N163" s="2">
        <v>1179</v>
      </c>
      <c r="O163" s="2">
        <v>593.29999999999995</v>
      </c>
      <c r="P163" s="2">
        <v>9978703</v>
      </c>
      <c r="Q163" s="2">
        <v>270211</v>
      </c>
    </row>
    <row r="164" spans="1:17" x14ac:dyDescent="0.25">
      <c r="A164" s="1">
        <v>45510</v>
      </c>
      <c r="B164" s="1" t="str">
        <f t="shared" si="8"/>
        <v>Tuesday</v>
      </c>
      <c r="C164" s="1" t="str">
        <f t="shared" si="9"/>
        <v>Aug</v>
      </c>
      <c r="D164" s="1" t="str">
        <f t="shared" si="10"/>
        <v>Q3</v>
      </c>
      <c r="E164" s="1" t="str">
        <f t="shared" si="11"/>
        <v>2024</v>
      </c>
      <c r="F164" t="s">
        <v>13</v>
      </c>
      <c r="G164" s="2">
        <v>1030</v>
      </c>
      <c r="H164" s="2">
        <v>1060.6500000000001</v>
      </c>
      <c r="I164" s="2">
        <v>1008.4</v>
      </c>
      <c r="J164" s="2">
        <v>1016.45</v>
      </c>
      <c r="K164" s="2">
        <v>1018.55</v>
      </c>
      <c r="L164" s="2">
        <v>1013.75</v>
      </c>
      <c r="M164" s="2">
        <v>1032.3399999999999</v>
      </c>
      <c r="N164" s="2">
        <v>1179</v>
      </c>
      <c r="O164" s="2">
        <v>593.29999999999995</v>
      </c>
      <c r="P164" s="2">
        <v>16726393</v>
      </c>
      <c r="Q164" s="2">
        <v>529099</v>
      </c>
    </row>
    <row r="165" spans="1:17" x14ac:dyDescent="0.25">
      <c r="A165" s="1">
        <v>45509</v>
      </c>
      <c r="B165" s="1" t="str">
        <f t="shared" si="8"/>
        <v>Monday</v>
      </c>
      <c r="C165" s="1" t="str">
        <f t="shared" si="9"/>
        <v>Aug</v>
      </c>
      <c r="D165" s="1" t="str">
        <f t="shared" si="10"/>
        <v>Q3</v>
      </c>
      <c r="E165" s="1" t="str">
        <f t="shared" si="11"/>
        <v>2024</v>
      </c>
      <c r="F165" t="s">
        <v>13</v>
      </c>
      <c r="G165" s="2">
        <v>1059.95</v>
      </c>
      <c r="H165" s="2">
        <v>1065</v>
      </c>
      <c r="I165" s="2">
        <v>1014.05</v>
      </c>
      <c r="J165" s="2">
        <v>1096.6500000000001</v>
      </c>
      <c r="K165" s="2">
        <v>1015.45</v>
      </c>
      <c r="L165" s="2">
        <v>1016.45</v>
      </c>
      <c r="M165" s="2">
        <v>1034.68</v>
      </c>
      <c r="N165" s="2">
        <v>1179</v>
      </c>
      <c r="O165" s="2">
        <v>593.29999999999995</v>
      </c>
      <c r="P165" s="2">
        <v>26651144</v>
      </c>
      <c r="Q165" s="2">
        <v>774396</v>
      </c>
    </row>
    <row r="166" spans="1:17" x14ac:dyDescent="0.25">
      <c r="A166" s="1">
        <v>45506</v>
      </c>
      <c r="B166" s="1" t="str">
        <f t="shared" si="8"/>
        <v>Friday</v>
      </c>
      <c r="C166" s="1" t="str">
        <f t="shared" si="9"/>
        <v>Aug</v>
      </c>
      <c r="D166" s="1" t="str">
        <f t="shared" si="10"/>
        <v>Q3</v>
      </c>
      <c r="E166" s="1" t="str">
        <f t="shared" si="11"/>
        <v>2024</v>
      </c>
      <c r="F166" t="s">
        <v>13</v>
      </c>
      <c r="G166" s="2">
        <v>1120</v>
      </c>
      <c r="H166" s="2">
        <v>1120</v>
      </c>
      <c r="I166" s="2">
        <v>1090.05</v>
      </c>
      <c r="J166" s="2">
        <v>1144.4000000000001</v>
      </c>
      <c r="K166" s="2">
        <v>1095</v>
      </c>
      <c r="L166" s="2">
        <v>1096.6500000000001</v>
      </c>
      <c r="M166" s="2">
        <v>1102.3599999999999</v>
      </c>
      <c r="N166" s="2">
        <v>1179</v>
      </c>
      <c r="O166" s="2">
        <v>593.29999999999995</v>
      </c>
      <c r="P166" s="2">
        <v>21967812</v>
      </c>
      <c r="Q166" s="2">
        <v>521622</v>
      </c>
    </row>
    <row r="167" spans="1:17" x14ac:dyDescent="0.25">
      <c r="A167" s="1">
        <v>45505</v>
      </c>
      <c r="B167" s="1" t="str">
        <f t="shared" si="8"/>
        <v>Thursday</v>
      </c>
      <c r="C167" s="1" t="str">
        <f t="shared" si="9"/>
        <v>Jul</v>
      </c>
      <c r="D167" s="1" t="str">
        <f t="shared" si="10"/>
        <v>Q3</v>
      </c>
      <c r="E167" s="1" t="str">
        <f t="shared" si="11"/>
        <v>2024</v>
      </c>
      <c r="F167" t="s">
        <v>13</v>
      </c>
      <c r="G167" s="2">
        <v>1167</v>
      </c>
      <c r="H167" s="2">
        <v>1176</v>
      </c>
      <c r="I167" s="2">
        <v>1136.5</v>
      </c>
      <c r="J167" s="2">
        <v>1156.6500000000001</v>
      </c>
      <c r="K167" s="2">
        <v>1142.6500000000001</v>
      </c>
      <c r="L167" s="2">
        <v>1144.4000000000001</v>
      </c>
      <c r="M167" s="2">
        <v>1152.27</v>
      </c>
      <c r="N167" s="2">
        <v>1179</v>
      </c>
      <c r="O167" s="2">
        <v>593.29999999999995</v>
      </c>
      <c r="P167" s="2">
        <v>14375948</v>
      </c>
      <c r="Q167" s="2">
        <v>315403</v>
      </c>
    </row>
    <row r="168" spans="1:17" x14ac:dyDescent="0.25">
      <c r="A168" s="1">
        <v>45504</v>
      </c>
      <c r="B168" s="1" t="str">
        <f t="shared" si="8"/>
        <v>Wednesday</v>
      </c>
      <c r="C168" s="1" t="str">
        <f t="shared" si="9"/>
        <v>Jul</v>
      </c>
      <c r="D168" s="1" t="str">
        <f t="shared" si="10"/>
        <v>Q3</v>
      </c>
      <c r="E168" s="1" t="str">
        <f t="shared" si="11"/>
        <v>2024</v>
      </c>
      <c r="F168" t="s">
        <v>13</v>
      </c>
      <c r="G168" s="2">
        <v>1164</v>
      </c>
      <c r="H168" s="2">
        <v>1167.9000000000001</v>
      </c>
      <c r="I168" s="2">
        <v>1145.3</v>
      </c>
      <c r="J168" s="2">
        <v>1161.8499999999999</v>
      </c>
      <c r="K168" s="2">
        <v>1159</v>
      </c>
      <c r="L168" s="2">
        <v>1156.6500000000001</v>
      </c>
      <c r="M168" s="2">
        <v>1155.71</v>
      </c>
      <c r="N168" s="2">
        <v>1179</v>
      </c>
      <c r="O168" s="2">
        <v>593.29999999999995</v>
      </c>
      <c r="P168" s="2">
        <v>10860623</v>
      </c>
      <c r="Q168" s="2">
        <v>276733</v>
      </c>
    </row>
    <row r="169" spans="1:17" x14ac:dyDescent="0.25">
      <c r="A169" s="1">
        <v>45503</v>
      </c>
      <c r="B169" s="1" t="str">
        <f t="shared" si="8"/>
        <v>Tuesday</v>
      </c>
      <c r="C169" s="1" t="str">
        <f t="shared" si="9"/>
        <v>Jul</v>
      </c>
      <c r="D169" s="1" t="str">
        <f t="shared" si="10"/>
        <v>Q3</v>
      </c>
      <c r="E169" s="1" t="str">
        <f t="shared" si="11"/>
        <v>2024</v>
      </c>
      <c r="F169" t="s">
        <v>13</v>
      </c>
      <c r="G169" s="2">
        <v>1125.8</v>
      </c>
      <c r="H169" s="2">
        <v>1179</v>
      </c>
      <c r="I169" s="2">
        <v>1118.5999999999999</v>
      </c>
      <c r="J169" s="2">
        <v>1124</v>
      </c>
      <c r="K169" s="2">
        <v>1162</v>
      </c>
      <c r="L169" s="2">
        <v>1161.8499999999999</v>
      </c>
      <c r="M169" s="2">
        <v>1159.58</v>
      </c>
      <c r="N169" s="2">
        <v>1179</v>
      </c>
      <c r="O169" s="2">
        <v>593.29999999999995</v>
      </c>
      <c r="P169" s="2">
        <v>28592304</v>
      </c>
      <c r="Q169" s="2">
        <v>479248</v>
      </c>
    </row>
    <row r="170" spans="1:17" x14ac:dyDescent="0.25">
      <c r="A170" s="1">
        <v>45502</v>
      </c>
      <c r="B170" s="1" t="str">
        <f t="shared" si="8"/>
        <v>Monday</v>
      </c>
      <c r="C170" s="1" t="str">
        <f t="shared" si="9"/>
        <v>Jul</v>
      </c>
      <c r="D170" s="1" t="str">
        <f t="shared" si="10"/>
        <v>Q3</v>
      </c>
      <c r="E170" s="1" t="str">
        <f t="shared" si="11"/>
        <v>2024</v>
      </c>
      <c r="F170" t="s">
        <v>13</v>
      </c>
      <c r="G170" s="2">
        <v>1124</v>
      </c>
      <c r="H170" s="2">
        <v>1139.9000000000001</v>
      </c>
      <c r="I170" s="2">
        <v>1118.5999999999999</v>
      </c>
      <c r="J170" s="2">
        <v>1118.3</v>
      </c>
      <c r="K170" s="2">
        <v>1124</v>
      </c>
      <c r="L170" s="2">
        <v>1124</v>
      </c>
      <c r="M170" s="2">
        <v>1126.98</v>
      </c>
      <c r="N170" s="2">
        <v>1139.9000000000001</v>
      </c>
      <c r="O170" s="2">
        <v>593.29999999999995</v>
      </c>
      <c r="P170" s="2">
        <v>11850624</v>
      </c>
      <c r="Q170" s="2">
        <v>240071</v>
      </c>
    </row>
    <row r="171" spans="1:17" x14ac:dyDescent="0.25">
      <c r="A171" s="1">
        <v>45499</v>
      </c>
      <c r="B171" s="1" t="str">
        <f t="shared" si="8"/>
        <v>Friday</v>
      </c>
      <c r="C171" s="1" t="str">
        <f t="shared" si="9"/>
        <v>Jul</v>
      </c>
      <c r="D171" s="1" t="str">
        <f t="shared" si="10"/>
        <v>Q3</v>
      </c>
      <c r="E171" s="1" t="str">
        <f t="shared" si="11"/>
        <v>2024</v>
      </c>
      <c r="F171" t="s">
        <v>13</v>
      </c>
      <c r="G171" s="2">
        <v>1111.95</v>
      </c>
      <c r="H171" s="2">
        <v>1120.5</v>
      </c>
      <c r="I171" s="2">
        <v>1083.5999999999999</v>
      </c>
      <c r="J171" s="2">
        <v>1090.95</v>
      </c>
      <c r="K171" s="2">
        <v>1116.05</v>
      </c>
      <c r="L171" s="2">
        <v>1118.3</v>
      </c>
      <c r="M171" s="2">
        <v>1102.42</v>
      </c>
      <c r="N171" s="2">
        <v>1120.5</v>
      </c>
      <c r="O171" s="2">
        <v>593.29999999999995</v>
      </c>
      <c r="P171" s="2">
        <v>21232845</v>
      </c>
      <c r="Q171" s="2">
        <v>350076</v>
      </c>
    </row>
    <row r="172" spans="1:17" x14ac:dyDescent="0.25">
      <c r="A172" s="1">
        <v>45498</v>
      </c>
      <c r="B172" s="1" t="str">
        <f t="shared" si="8"/>
        <v>Thursday</v>
      </c>
      <c r="C172" s="1" t="str">
        <f t="shared" si="9"/>
        <v>Jul</v>
      </c>
      <c r="D172" s="1" t="str">
        <f t="shared" si="10"/>
        <v>Q3</v>
      </c>
      <c r="E172" s="1" t="str">
        <f t="shared" si="11"/>
        <v>2024</v>
      </c>
      <c r="F172" t="s">
        <v>13</v>
      </c>
      <c r="G172" s="2">
        <v>1029</v>
      </c>
      <c r="H172" s="2">
        <v>1094</v>
      </c>
      <c r="I172" s="2">
        <v>1024.3499999999999</v>
      </c>
      <c r="J172" s="2">
        <v>1027.7</v>
      </c>
      <c r="K172" s="2">
        <v>1089.05</v>
      </c>
      <c r="L172" s="2">
        <v>1090.95</v>
      </c>
      <c r="M172" s="2">
        <v>1072.7</v>
      </c>
      <c r="N172" s="2">
        <v>1094</v>
      </c>
      <c r="O172" s="2">
        <v>593.29999999999995</v>
      </c>
      <c r="P172" s="2">
        <v>32766835</v>
      </c>
      <c r="Q172" s="2">
        <v>643962</v>
      </c>
    </row>
    <row r="173" spans="1:17" x14ac:dyDescent="0.25">
      <c r="A173" s="1">
        <v>45497</v>
      </c>
      <c r="B173" s="1" t="str">
        <f t="shared" si="8"/>
        <v>Wednesday</v>
      </c>
      <c r="C173" s="1" t="str">
        <f t="shared" si="9"/>
        <v>Jul</v>
      </c>
      <c r="D173" s="1" t="str">
        <f t="shared" si="10"/>
        <v>Q3</v>
      </c>
      <c r="E173" s="1" t="str">
        <f t="shared" si="11"/>
        <v>2024</v>
      </c>
      <c r="F173" t="s">
        <v>13</v>
      </c>
      <c r="G173" s="2">
        <v>997.8</v>
      </c>
      <c r="H173" s="2">
        <v>1034.25</v>
      </c>
      <c r="I173" s="2">
        <v>995.15</v>
      </c>
      <c r="J173" s="2">
        <v>1001.8</v>
      </c>
      <c r="K173" s="2">
        <v>1026.45</v>
      </c>
      <c r="L173" s="2">
        <v>1027.7</v>
      </c>
      <c r="M173" s="2">
        <v>1024.27</v>
      </c>
      <c r="N173" s="2">
        <v>1065.5999999999999</v>
      </c>
      <c r="O173" s="2">
        <v>593.29999999999995</v>
      </c>
      <c r="P173" s="2">
        <v>11469098</v>
      </c>
      <c r="Q173" s="2">
        <v>253508</v>
      </c>
    </row>
    <row r="174" spans="1:17" x14ac:dyDescent="0.25">
      <c r="A174" s="1">
        <v>45496</v>
      </c>
      <c r="B174" s="1" t="str">
        <f t="shared" si="8"/>
        <v>Tuesday</v>
      </c>
      <c r="C174" s="1" t="str">
        <f t="shared" si="9"/>
        <v>Jul</v>
      </c>
      <c r="D174" s="1" t="str">
        <f t="shared" si="10"/>
        <v>Q3</v>
      </c>
      <c r="E174" s="1" t="str">
        <f t="shared" si="11"/>
        <v>2024</v>
      </c>
      <c r="F174" t="s">
        <v>13</v>
      </c>
      <c r="G174" s="2">
        <v>1007.9</v>
      </c>
      <c r="H174" s="2">
        <v>1008.65</v>
      </c>
      <c r="I174" s="2">
        <v>967.2</v>
      </c>
      <c r="J174" s="2">
        <v>1003.15</v>
      </c>
      <c r="K174" s="2">
        <v>1001</v>
      </c>
      <c r="L174" s="2">
        <v>1001.8</v>
      </c>
      <c r="M174" s="2">
        <v>996.08</v>
      </c>
      <c r="N174" s="2">
        <v>1065.5999999999999</v>
      </c>
      <c r="O174" s="2">
        <v>593.29999999999995</v>
      </c>
      <c r="P174" s="2">
        <v>10384177</v>
      </c>
      <c r="Q174" s="2">
        <v>278738</v>
      </c>
    </row>
    <row r="175" spans="1:17" x14ac:dyDescent="0.25">
      <c r="A175" s="1">
        <v>45495</v>
      </c>
      <c r="B175" s="1" t="str">
        <f t="shared" si="8"/>
        <v>Monday</v>
      </c>
      <c r="C175" s="1" t="str">
        <f t="shared" si="9"/>
        <v>Jul</v>
      </c>
      <c r="D175" s="1" t="str">
        <f t="shared" si="10"/>
        <v>Q3</v>
      </c>
      <c r="E175" s="1" t="str">
        <f t="shared" si="11"/>
        <v>2024</v>
      </c>
      <c r="F175" t="s">
        <v>13</v>
      </c>
      <c r="G175" s="2">
        <v>990</v>
      </c>
      <c r="H175" s="2">
        <v>1008</v>
      </c>
      <c r="I175" s="2">
        <v>976.55</v>
      </c>
      <c r="J175" s="2">
        <v>990</v>
      </c>
      <c r="K175" s="2">
        <v>1003.9</v>
      </c>
      <c r="L175" s="2">
        <v>1003.15</v>
      </c>
      <c r="M175" s="2">
        <v>996.51</v>
      </c>
      <c r="N175" s="2">
        <v>1065.5999999999999</v>
      </c>
      <c r="O175" s="2">
        <v>593.29999999999995</v>
      </c>
      <c r="P175" s="2">
        <v>7396198</v>
      </c>
      <c r="Q175" s="2">
        <v>184710</v>
      </c>
    </row>
    <row r="176" spans="1:17" x14ac:dyDescent="0.25">
      <c r="A176" s="1">
        <v>45492</v>
      </c>
      <c r="B176" s="1" t="str">
        <f t="shared" si="8"/>
        <v>Friday</v>
      </c>
      <c r="C176" s="1" t="str">
        <f t="shared" si="9"/>
        <v>Jul</v>
      </c>
      <c r="D176" s="1" t="str">
        <f t="shared" si="10"/>
        <v>Q3</v>
      </c>
      <c r="E176" s="1" t="str">
        <f t="shared" si="11"/>
        <v>2024</v>
      </c>
      <c r="F176" t="s">
        <v>13</v>
      </c>
      <c r="G176" s="2">
        <v>1024</v>
      </c>
      <c r="H176" s="2">
        <v>1024</v>
      </c>
      <c r="I176" s="2">
        <v>986.65</v>
      </c>
      <c r="J176" s="2">
        <v>1024.55</v>
      </c>
      <c r="K176" s="2">
        <v>990.8</v>
      </c>
      <c r="L176" s="2">
        <v>990</v>
      </c>
      <c r="M176" s="2">
        <v>1002.41</v>
      </c>
      <c r="N176" s="2">
        <v>1065.5999999999999</v>
      </c>
      <c r="O176" s="2">
        <v>593.29999999999995</v>
      </c>
      <c r="P176" s="2">
        <v>7400178</v>
      </c>
      <c r="Q176" s="2">
        <v>222285</v>
      </c>
    </row>
    <row r="177" spans="1:17" x14ac:dyDescent="0.25">
      <c r="A177" s="1">
        <v>45491</v>
      </c>
      <c r="B177" s="1" t="str">
        <f t="shared" si="8"/>
        <v>Thursday</v>
      </c>
      <c r="C177" s="1" t="str">
        <f t="shared" si="9"/>
        <v>Jul</v>
      </c>
      <c r="D177" s="1" t="str">
        <f t="shared" si="10"/>
        <v>Q3</v>
      </c>
      <c r="E177" s="1" t="str">
        <f t="shared" si="11"/>
        <v>2024</v>
      </c>
      <c r="F177" t="s">
        <v>13</v>
      </c>
      <c r="G177" s="2">
        <v>1022.95</v>
      </c>
      <c r="H177" s="2">
        <v>1027</v>
      </c>
      <c r="I177" s="2">
        <v>1008</v>
      </c>
      <c r="J177" s="2">
        <v>1021.15</v>
      </c>
      <c r="K177" s="2">
        <v>1025</v>
      </c>
      <c r="L177" s="2">
        <v>1024.55</v>
      </c>
      <c r="M177" s="2">
        <v>1019.04</v>
      </c>
      <c r="N177" s="2">
        <v>1065.5999999999999</v>
      </c>
      <c r="O177" s="2">
        <v>593.29999999999995</v>
      </c>
      <c r="P177" s="2">
        <v>8010324</v>
      </c>
      <c r="Q177" s="2">
        <v>227199</v>
      </c>
    </row>
    <row r="178" spans="1:17" x14ac:dyDescent="0.25">
      <c r="A178" s="1">
        <v>45489</v>
      </c>
      <c r="B178" s="1" t="str">
        <f t="shared" si="8"/>
        <v>Tuesday</v>
      </c>
      <c r="C178" s="1" t="str">
        <f t="shared" si="9"/>
        <v>Jul</v>
      </c>
      <c r="D178" s="1" t="str">
        <f t="shared" si="10"/>
        <v>Q3</v>
      </c>
      <c r="E178" s="1" t="str">
        <f t="shared" si="11"/>
        <v>2024</v>
      </c>
      <c r="F178" t="s">
        <v>13</v>
      </c>
      <c r="G178" s="2">
        <v>1025.5</v>
      </c>
      <c r="H178" s="2">
        <v>1029.5999999999999</v>
      </c>
      <c r="I178" s="2">
        <v>1019.2</v>
      </c>
      <c r="J178" s="2">
        <v>1024.45</v>
      </c>
      <c r="K178" s="2">
        <v>1020</v>
      </c>
      <c r="L178" s="2">
        <v>1021.15</v>
      </c>
      <c r="M178" s="2">
        <v>1023.51</v>
      </c>
      <c r="N178" s="2">
        <v>1065.5999999999999</v>
      </c>
      <c r="O178" s="2">
        <v>593.29999999999995</v>
      </c>
      <c r="P178" s="2">
        <v>4824555</v>
      </c>
      <c r="Q178" s="2">
        <v>112175</v>
      </c>
    </row>
    <row r="179" spans="1:17" x14ac:dyDescent="0.25">
      <c r="A179" s="1">
        <v>45488</v>
      </c>
      <c r="B179" s="1" t="str">
        <f t="shared" si="8"/>
        <v>Monday</v>
      </c>
      <c r="C179" s="1" t="str">
        <f t="shared" si="9"/>
        <v>Jul</v>
      </c>
      <c r="D179" s="1" t="str">
        <f t="shared" si="10"/>
        <v>Q3</v>
      </c>
      <c r="E179" s="1" t="str">
        <f t="shared" si="11"/>
        <v>2024</v>
      </c>
      <c r="F179" t="s">
        <v>13</v>
      </c>
      <c r="G179" s="2">
        <v>1021.35</v>
      </c>
      <c r="H179" s="2">
        <v>1029.8</v>
      </c>
      <c r="I179" s="2">
        <v>1017.3</v>
      </c>
      <c r="J179" s="2">
        <v>1016.75</v>
      </c>
      <c r="K179" s="2">
        <v>1024.5</v>
      </c>
      <c r="L179" s="2">
        <v>1024.45</v>
      </c>
      <c r="M179" s="2">
        <v>1025.55</v>
      </c>
      <c r="N179" s="2">
        <v>1065.5999999999999</v>
      </c>
      <c r="O179" s="2">
        <v>593.29999999999995</v>
      </c>
      <c r="P179" s="2">
        <v>5847333</v>
      </c>
      <c r="Q179" s="2">
        <v>159747</v>
      </c>
    </row>
    <row r="180" spans="1:17" x14ac:dyDescent="0.25">
      <c r="A180" s="1">
        <v>45485</v>
      </c>
      <c r="B180" s="1" t="str">
        <f t="shared" si="8"/>
        <v>Friday</v>
      </c>
      <c r="C180" s="1" t="str">
        <f t="shared" si="9"/>
        <v>Jul</v>
      </c>
      <c r="D180" s="1" t="str">
        <f t="shared" si="10"/>
        <v>Q3</v>
      </c>
      <c r="E180" s="1" t="str">
        <f t="shared" si="11"/>
        <v>2024</v>
      </c>
      <c r="F180" t="s">
        <v>13</v>
      </c>
      <c r="G180" s="2">
        <v>1023.85</v>
      </c>
      <c r="H180" s="2">
        <v>1025.9000000000001</v>
      </c>
      <c r="I180" s="2">
        <v>1015</v>
      </c>
      <c r="J180" s="2">
        <v>1020.8</v>
      </c>
      <c r="K180" s="2">
        <v>1018.2</v>
      </c>
      <c r="L180" s="2">
        <v>1016.75</v>
      </c>
      <c r="M180" s="2">
        <v>1020.26</v>
      </c>
      <c r="N180" s="2">
        <v>1065.5999999999999</v>
      </c>
      <c r="O180" s="2">
        <v>593.29999999999995</v>
      </c>
      <c r="P180" s="2">
        <v>7339644</v>
      </c>
      <c r="Q180" s="2">
        <v>177026</v>
      </c>
    </row>
    <row r="181" spans="1:17" x14ac:dyDescent="0.25">
      <c r="A181" s="1">
        <v>45484</v>
      </c>
      <c r="B181" s="1" t="str">
        <f t="shared" si="8"/>
        <v>Thursday</v>
      </c>
      <c r="C181" s="1" t="str">
        <f t="shared" si="9"/>
        <v>Jul</v>
      </c>
      <c r="D181" s="1" t="str">
        <f t="shared" si="10"/>
        <v>Q3</v>
      </c>
      <c r="E181" s="1" t="str">
        <f t="shared" si="11"/>
        <v>2024</v>
      </c>
      <c r="F181" t="s">
        <v>13</v>
      </c>
      <c r="G181" s="2">
        <v>1008</v>
      </c>
      <c r="H181" s="2">
        <v>1025.5</v>
      </c>
      <c r="I181" s="2">
        <v>1007.05</v>
      </c>
      <c r="J181" s="2">
        <v>1005.5</v>
      </c>
      <c r="K181" s="2">
        <v>1021.2</v>
      </c>
      <c r="L181" s="2">
        <v>1020.8</v>
      </c>
      <c r="M181" s="2">
        <v>1020.12</v>
      </c>
      <c r="N181" s="2">
        <v>1065.5999999999999</v>
      </c>
      <c r="O181" s="2">
        <v>593.29999999999995</v>
      </c>
      <c r="P181" s="2">
        <v>11983571</v>
      </c>
      <c r="Q181" s="2">
        <v>262202</v>
      </c>
    </row>
    <row r="182" spans="1:17" x14ac:dyDescent="0.25">
      <c r="A182" s="1">
        <v>45483</v>
      </c>
      <c r="B182" s="1" t="str">
        <f t="shared" si="8"/>
        <v>Wednesday</v>
      </c>
      <c r="C182" s="1" t="str">
        <f t="shared" si="9"/>
        <v>Jul</v>
      </c>
      <c r="D182" s="1" t="str">
        <f t="shared" si="10"/>
        <v>Q3</v>
      </c>
      <c r="E182" s="1" t="str">
        <f t="shared" si="11"/>
        <v>2024</v>
      </c>
      <c r="F182" t="s">
        <v>13</v>
      </c>
      <c r="G182" s="2">
        <v>1015</v>
      </c>
      <c r="H182" s="2">
        <v>1019.85</v>
      </c>
      <c r="I182" s="2">
        <v>986.05</v>
      </c>
      <c r="J182" s="2">
        <v>1014.95</v>
      </c>
      <c r="K182" s="2">
        <v>1004.3</v>
      </c>
      <c r="L182" s="2">
        <v>1005.5</v>
      </c>
      <c r="M182" s="2">
        <v>1006.58</v>
      </c>
      <c r="N182" s="2">
        <v>1065.5999999999999</v>
      </c>
      <c r="O182" s="2">
        <v>593.29999999999995</v>
      </c>
      <c r="P182" s="2">
        <v>13412206</v>
      </c>
      <c r="Q182" s="2">
        <v>266731</v>
      </c>
    </row>
    <row r="183" spans="1:17" x14ac:dyDescent="0.25">
      <c r="A183" s="1">
        <v>45482</v>
      </c>
      <c r="B183" s="1" t="str">
        <f t="shared" si="8"/>
        <v>Tuesday</v>
      </c>
      <c r="C183" s="1" t="str">
        <f t="shared" si="9"/>
        <v>Jul</v>
      </c>
      <c r="D183" s="1" t="str">
        <f t="shared" si="10"/>
        <v>Q3</v>
      </c>
      <c r="E183" s="1" t="str">
        <f t="shared" si="11"/>
        <v>2024</v>
      </c>
      <c r="F183" t="s">
        <v>13</v>
      </c>
      <c r="G183" s="2">
        <v>1000.95</v>
      </c>
      <c r="H183" s="2">
        <v>1017</v>
      </c>
      <c r="I183" s="2">
        <v>998.1</v>
      </c>
      <c r="J183" s="2">
        <v>1002.6</v>
      </c>
      <c r="K183" s="2">
        <v>1014.15</v>
      </c>
      <c r="L183" s="2">
        <v>1014.95</v>
      </c>
      <c r="M183" s="2">
        <v>1010.93</v>
      </c>
      <c r="N183" s="2">
        <v>1065.5999999999999</v>
      </c>
      <c r="O183" s="2">
        <v>593.29999999999995</v>
      </c>
      <c r="P183" s="2">
        <v>10948094</v>
      </c>
      <c r="Q183" s="2">
        <v>204321</v>
      </c>
    </row>
    <row r="184" spans="1:17" x14ac:dyDescent="0.25">
      <c r="A184" s="1">
        <v>45481</v>
      </c>
      <c r="B184" s="1" t="str">
        <f t="shared" si="8"/>
        <v>Monday</v>
      </c>
      <c r="C184" s="1" t="str">
        <f t="shared" si="9"/>
        <v>Jul</v>
      </c>
      <c r="D184" s="1" t="str">
        <f t="shared" si="10"/>
        <v>Q3</v>
      </c>
      <c r="E184" s="1" t="str">
        <f t="shared" si="11"/>
        <v>2024</v>
      </c>
      <c r="F184" t="s">
        <v>13</v>
      </c>
      <c r="G184" s="2">
        <v>1005</v>
      </c>
      <c r="H184" s="2">
        <v>1016.6</v>
      </c>
      <c r="I184" s="2">
        <v>996.2</v>
      </c>
      <c r="J184" s="2">
        <v>993.65</v>
      </c>
      <c r="K184" s="2">
        <v>1002.9</v>
      </c>
      <c r="L184" s="2">
        <v>1002.6</v>
      </c>
      <c r="M184" s="2">
        <v>1005.86</v>
      </c>
      <c r="N184" s="2">
        <v>1065.5999999999999</v>
      </c>
      <c r="O184" s="2">
        <v>593.29999999999995</v>
      </c>
      <c r="P184" s="2">
        <v>13312085</v>
      </c>
      <c r="Q184" s="2">
        <v>258538</v>
      </c>
    </row>
    <row r="185" spans="1:17" x14ac:dyDescent="0.25">
      <c r="A185" s="1">
        <v>45478</v>
      </c>
      <c r="B185" s="1" t="str">
        <f t="shared" si="8"/>
        <v>Friday</v>
      </c>
      <c r="C185" s="1" t="str">
        <f t="shared" si="9"/>
        <v>Jul</v>
      </c>
      <c r="D185" s="1" t="str">
        <f t="shared" si="10"/>
        <v>Q3</v>
      </c>
      <c r="E185" s="1" t="str">
        <f t="shared" si="11"/>
        <v>2024</v>
      </c>
      <c r="F185" t="s">
        <v>13</v>
      </c>
      <c r="G185" s="2">
        <v>1005</v>
      </c>
      <c r="H185" s="2">
        <v>1006.6</v>
      </c>
      <c r="I185" s="2">
        <v>989.95</v>
      </c>
      <c r="J185" s="2">
        <v>998.2</v>
      </c>
      <c r="K185" s="2">
        <v>992.9</v>
      </c>
      <c r="L185" s="2">
        <v>993.65</v>
      </c>
      <c r="M185" s="2">
        <v>996.93</v>
      </c>
      <c r="N185" s="2">
        <v>1065.5999999999999</v>
      </c>
      <c r="O185" s="2">
        <v>584.95000000000005</v>
      </c>
      <c r="P185" s="2">
        <v>9050375</v>
      </c>
      <c r="Q185" s="2">
        <v>207489</v>
      </c>
    </row>
    <row r="186" spans="1:17" x14ac:dyDescent="0.25">
      <c r="A186" s="1">
        <v>45477</v>
      </c>
      <c r="B186" s="1" t="str">
        <f t="shared" si="8"/>
        <v>Thursday</v>
      </c>
      <c r="C186" s="1" t="str">
        <f t="shared" si="9"/>
        <v>Jul</v>
      </c>
      <c r="D186" s="1" t="str">
        <f t="shared" si="10"/>
        <v>Q3</v>
      </c>
      <c r="E186" s="1" t="str">
        <f t="shared" si="11"/>
        <v>2024</v>
      </c>
      <c r="F186" t="s">
        <v>13</v>
      </c>
      <c r="G186" s="2">
        <v>984</v>
      </c>
      <c r="H186" s="2">
        <v>1004</v>
      </c>
      <c r="I186" s="2">
        <v>979.6</v>
      </c>
      <c r="J186" s="2">
        <v>975.65</v>
      </c>
      <c r="K186" s="2">
        <v>1002.5</v>
      </c>
      <c r="L186" s="2">
        <v>998.2</v>
      </c>
      <c r="M186" s="2">
        <v>992.82</v>
      </c>
      <c r="N186" s="2">
        <v>1065.5999999999999</v>
      </c>
      <c r="O186" s="2">
        <v>584.95000000000005</v>
      </c>
      <c r="P186" s="2">
        <v>12139832</v>
      </c>
      <c r="Q186" s="2">
        <v>228411</v>
      </c>
    </row>
    <row r="187" spans="1:17" x14ac:dyDescent="0.25">
      <c r="A187" s="1">
        <v>45476</v>
      </c>
      <c r="B187" s="1" t="str">
        <f t="shared" si="8"/>
        <v>Wednesday</v>
      </c>
      <c r="C187" s="1" t="str">
        <f t="shared" si="9"/>
        <v>Jul</v>
      </c>
      <c r="D187" s="1" t="str">
        <f t="shared" si="10"/>
        <v>Q3</v>
      </c>
      <c r="E187" s="1" t="str">
        <f t="shared" si="11"/>
        <v>2024</v>
      </c>
      <c r="F187" t="s">
        <v>13</v>
      </c>
      <c r="G187" s="2">
        <v>984.95</v>
      </c>
      <c r="H187" s="2">
        <v>987.35</v>
      </c>
      <c r="I187" s="2">
        <v>973.5</v>
      </c>
      <c r="J187" s="2">
        <v>981.3</v>
      </c>
      <c r="K187" s="2">
        <v>977.25</v>
      </c>
      <c r="L187" s="2">
        <v>975.65</v>
      </c>
      <c r="M187" s="2">
        <v>977.3</v>
      </c>
      <c r="N187" s="2">
        <v>1065.5999999999999</v>
      </c>
      <c r="O187" s="2">
        <v>584.95000000000005</v>
      </c>
      <c r="P187" s="2">
        <v>7346258</v>
      </c>
      <c r="Q187" s="2">
        <v>230730</v>
      </c>
    </row>
    <row r="188" spans="1:17" x14ac:dyDescent="0.25">
      <c r="A188" s="1">
        <v>45475</v>
      </c>
      <c r="B188" s="1" t="str">
        <f t="shared" si="8"/>
        <v>Tuesday</v>
      </c>
      <c r="C188" s="1" t="str">
        <f t="shared" si="9"/>
        <v>Jul</v>
      </c>
      <c r="D188" s="1" t="str">
        <f t="shared" si="10"/>
        <v>Q3</v>
      </c>
      <c r="E188" s="1" t="str">
        <f t="shared" si="11"/>
        <v>2024</v>
      </c>
      <c r="F188" t="s">
        <v>13</v>
      </c>
      <c r="G188" s="2">
        <v>1004.05</v>
      </c>
      <c r="H188" s="2">
        <v>1005</v>
      </c>
      <c r="I188" s="2">
        <v>979.1</v>
      </c>
      <c r="J188" s="2">
        <v>1002.05</v>
      </c>
      <c r="K188" s="2">
        <v>982.5</v>
      </c>
      <c r="L188" s="2">
        <v>981.3</v>
      </c>
      <c r="M188" s="2">
        <v>988.36</v>
      </c>
      <c r="N188" s="2">
        <v>1065.5999999999999</v>
      </c>
      <c r="O188" s="2">
        <v>584.95000000000005</v>
      </c>
      <c r="P188" s="2">
        <v>12284132</v>
      </c>
      <c r="Q188" s="2">
        <v>252422</v>
      </c>
    </row>
    <row r="189" spans="1:17" x14ac:dyDescent="0.25">
      <c r="A189" s="1">
        <v>45474</v>
      </c>
      <c r="B189" s="1" t="str">
        <f t="shared" si="8"/>
        <v>Monday</v>
      </c>
      <c r="C189" s="1" t="str">
        <f t="shared" si="9"/>
        <v>Jun</v>
      </c>
      <c r="D189" s="1" t="str">
        <f t="shared" si="10"/>
        <v>Q3</v>
      </c>
      <c r="E189" s="1" t="str">
        <f t="shared" si="11"/>
        <v>2024</v>
      </c>
      <c r="F189" t="s">
        <v>13</v>
      </c>
      <c r="G189" s="2">
        <v>989.75</v>
      </c>
      <c r="H189" s="2">
        <v>1005.5</v>
      </c>
      <c r="I189" s="2">
        <v>985.2</v>
      </c>
      <c r="J189" s="2">
        <v>989.75</v>
      </c>
      <c r="K189" s="2">
        <v>1000</v>
      </c>
      <c r="L189" s="2">
        <v>1002.05</v>
      </c>
      <c r="M189" s="2">
        <v>996.45</v>
      </c>
      <c r="N189" s="2">
        <v>1065.5999999999999</v>
      </c>
      <c r="O189" s="2">
        <v>584.95000000000005</v>
      </c>
      <c r="P189" s="2">
        <v>14006105</v>
      </c>
      <c r="Q189" s="2">
        <v>247271</v>
      </c>
    </row>
    <row r="190" spans="1:17" x14ac:dyDescent="0.25">
      <c r="A190" s="1">
        <v>45471</v>
      </c>
      <c r="B190" s="1" t="str">
        <f t="shared" si="8"/>
        <v>Friday</v>
      </c>
      <c r="C190" s="1" t="str">
        <f t="shared" si="9"/>
        <v>Jun</v>
      </c>
      <c r="D190" s="1" t="str">
        <f t="shared" si="10"/>
        <v>Q2</v>
      </c>
      <c r="E190" s="1" t="str">
        <f t="shared" si="11"/>
        <v>2024</v>
      </c>
      <c r="F190" t="s">
        <v>13</v>
      </c>
      <c r="G190" s="2">
        <v>975</v>
      </c>
      <c r="H190" s="2">
        <v>998.5</v>
      </c>
      <c r="I190" s="2">
        <v>972.55</v>
      </c>
      <c r="J190" s="2">
        <v>972.1</v>
      </c>
      <c r="K190" s="2">
        <v>989.2</v>
      </c>
      <c r="L190" s="2">
        <v>989.75</v>
      </c>
      <c r="M190" s="2">
        <v>989.82</v>
      </c>
      <c r="N190" s="2">
        <v>1065.5999999999999</v>
      </c>
      <c r="O190" s="2">
        <v>557.79999999999995</v>
      </c>
      <c r="P190" s="2">
        <v>23025267</v>
      </c>
      <c r="Q190" s="2">
        <v>426973</v>
      </c>
    </row>
    <row r="191" spans="1:17" x14ac:dyDescent="0.25">
      <c r="A191" s="1">
        <v>45470</v>
      </c>
      <c r="B191" s="1" t="str">
        <f t="shared" si="8"/>
        <v>Thursday</v>
      </c>
      <c r="C191" s="1" t="str">
        <f t="shared" si="9"/>
        <v>Jun</v>
      </c>
      <c r="D191" s="1" t="str">
        <f t="shared" si="10"/>
        <v>Q2</v>
      </c>
      <c r="E191" s="1" t="str">
        <f t="shared" si="11"/>
        <v>2024</v>
      </c>
      <c r="F191" t="s">
        <v>13</v>
      </c>
      <c r="G191" s="2">
        <v>952.5</v>
      </c>
      <c r="H191" s="2">
        <v>974.85</v>
      </c>
      <c r="I191" s="2">
        <v>948.05</v>
      </c>
      <c r="J191" s="2">
        <v>951.85</v>
      </c>
      <c r="K191" s="2">
        <v>972.6</v>
      </c>
      <c r="L191" s="2">
        <v>972.1</v>
      </c>
      <c r="M191" s="2">
        <v>959.23</v>
      </c>
      <c r="N191" s="2">
        <v>1065.5999999999999</v>
      </c>
      <c r="O191" s="2">
        <v>557.79999999999995</v>
      </c>
      <c r="P191" s="2">
        <v>19385412</v>
      </c>
      <c r="Q191" s="2">
        <v>273327</v>
      </c>
    </row>
    <row r="192" spans="1:17" x14ac:dyDescent="0.25">
      <c r="A192" s="1">
        <v>45469</v>
      </c>
      <c r="B192" s="1" t="str">
        <f t="shared" si="8"/>
        <v>Wednesday</v>
      </c>
      <c r="C192" s="1" t="str">
        <f t="shared" si="9"/>
        <v>Jun</v>
      </c>
      <c r="D192" s="1" t="str">
        <f t="shared" si="10"/>
        <v>Q2</v>
      </c>
      <c r="E192" s="1" t="str">
        <f t="shared" si="11"/>
        <v>2024</v>
      </c>
      <c r="F192" t="s">
        <v>13</v>
      </c>
      <c r="G192" s="2">
        <v>956</v>
      </c>
      <c r="H192" s="2">
        <v>962.5</v>
      </c>
      <c r="I192" s="2">
        <v>950.1</v>
      </c>
      <c r="J192" s="2">
        <v>955</v>
      </c>
      <c r="K192" s="2">
        <v>952.5</v>
      </c>
      <c r="L192" s="2">
        <v>951.85</v>
      </c>
      <c r="M192" s="2">
        <v>956.51</v>
      </c>
      <c r="N192" s="2">
        <v>1065.5999999999999</v>
      </c>
      <c r="O192" s="2">
        <v>557.79999999999995</v>
      </c>
      <c r="P192" s="2">
        <v>6908988</v>
      </c>
      <c r="Q192" s="2">
        <v>182508</v>
      </c>
    </row>
    <row r="193" spans="1:17" x14ac:dyDescent="0.25">
      <c r="A193" s="1">
        <v>45468</v>
      </c>
      <c r="B193" s="1" t="str">
        <f t="shared" si="8"/>
        <v>Tuesday</v>
      </c>
      <c r="C193" s="1" t="str">
        <f t="shared" si="9"/>
        <v>Jun</v>
      </c>
      <c r="D193" s="1" t="str">
        <f t="shared" si="10"/>
        <v>Q2</v>
      </c>
      <c r="E193" s="1" t="str">
        <f t="shared" si="11"/>
        <v>2024</v>
      </c>
      <c r="F193" t="s">
        <v>13</v>
      </c>
      <c r="G193" s="2">
        <v>960</v>
      </c>
      <c r="H193" s="2">
        <v>962.85</v>
      </c>
      <c r="I193" s="2">
        <v>949.3</v>
      </c>
      <c r="J193" s="2">
        <v>958.05</v>
      </c>
      <c r="K193" s="2">
        <v>955.5</v>
      </c>
      <c r="L193" s="2">
        <v>955</v>
      </c>
      <c r="M193" s="2">
        <v>954.6</v>
      </c>
      <c r="N193" s="2">
        <v>1065.5999999999999</v>
      </c>
      <c r="O193" s="2">
        <v>557.79999999999995</v>
      </c>
      <c r="P193" s="2">
        <v>7304128</v>
      </c>
      <c r="Q193" s="2">
        <v>215159</v>
      </c>
    </row>
    <row r="194" spans="1:17" x14ac:dyDescent="0.25">
      <c r="A194" s="1">
        <v>45467</v>
      </c>
      <c r="B194" s="1" t="str">
        <f t="shared" ref="B194:B250" si="12">TEXT(A194,"dddd")</f>
        <v>Monday</v>
      </c>
      <c r="C194" s="1" t="str">
        <f t="shared" ref="C194:C250" si="13">TEXT(A195,"mmm")</f>
        <v>Jun</v>
      </c>
      <c r="D194" s="1" t="str">
        <f t="shared" ref="D194:D250" si="14">"Q"&amp;ROUNDUP(MONTH(A194)/3,0)</f>
        <v>Q2</v>
      </c>
      <c r="E194" s="1" t="str">
        <f t="shared" ref="E194:E250" si="15">TEXT(A194,"yyyy")</f>
        <v>2024</v>
      </c>
      <c r="F194" t="s">
        <v>13</v>
      </c>
      <c r="G194" s="2">
        <v>960.9</v>
      </c>
      <c r="H194" s="2">
        <v>963.5</v>
      </c>
      <c r="I194" s="2">
        <v>950.05</v>
      </c>
      <c r="J194" s="2">
        <v>961.8</v>
      </c>
      <c r="K194" s="2">
        <v>959</v>
      </c>
      <c r="L194" s="2">
        <v>958.05</v>
      </c>
      <c r="M194" s="2">
        <v>957.97</v>
      </c>
      <c r="N194" s="2">
        <v>1065.5999999999999</v>
      </c>
      <c r="O194" s="2">
        <v>557.79999999999995</v>
      </c>
      <c r="P194" s="2">
        <v>6655577</v>
      </c>
      <c r="Q194" s="2">
        <v>182820</v>
      </c>
    </row>
    <row r="195" spans="1:17" x14ac:dyDescent="0.25">
      <c r="A195" s="1">
        <v>45464</v>
      </c>
      <c r="B195" s="1" t="str">
        <f t="shared" si="12"/>
        <v>Friday</v>
      </c>
      <c r="C195" s="1" t="str">
        <f t="shared" si="13"/>
        <v>Jun</v>
      </c>
      <c r="D195" s="1" t="str">
        <f t="shared" si="14"/>
        <v>Q2</v>
      </c>
      <c r="E195" s="1" t="str">
        <f t="shared" si="15"/>
        <v>2024</v>
      </c>
      <c r="F195" t="s">
        <v>13</v>
      </c>
      <c r="G195" s="2">
        <v>979</v>
      </c>
      <c r="H195" s="2">
        <v>980.9</v>
      </c>
      <c r="I195" s="2">
        <v>958.1</v>
      </c>
      <c r="J195" s="2">
        <v>978.25</v>
      </c>
      <c r="K195" s="2">
        <v>960</v>
      </c>
      <c r="L195" s="2">
        <v>961.8</v>
      </c>
      <c r="M195" s="2">
        <v>966.4</v>
      </c>
      <c r="N195" s="2">
        <v>1065.5999999999999</v>
      </c>
      <c r="O195" s="2">
        <v>557.70000000000005</v>
      </c>
      <c r="P195" s="2">
        <v>14303735</v>
      </c>
      <c r="Q195" s="2">
        <v>386477</v>
      </c>
    </row>
    <row r="196" spans="1:17" x14ac:dyDescent="0.25">
      <c r="A196" s="1">
        <v>45463</v>
      </c>
      <c r="B196" s="1" t="str">
        <f t="shared" si="12"/>
        <v>Thursday</v>
      </c>
      <c r="C196" s="1" t="str">
        <f t="shared" si="13"/>
        <v>Jun</v>
      </c>
      <c r="D196" s="1" t="str">
        <f t="shared" si="14"/>
        <v>Q2</v>
      </c>
      <c r="E196" s="1" t="str">
        <f t="shared" si="15"/>
        <v>2024</v>
      </c>
      <c r="F196" t="s">
        <v>13</v>
      </c>
      <c r="G196" s="2">
        <v>980</v>
      </c>
      <c r="H196" s="2">
        <v>988.4</v>
      </c>
      <c r="I196" s="2">
        <v>976.35</v>
      </c>
      <c r="J196" s="2">
        <v>977.35</v>
      </c>
      <c r="K196" s="2">
        <v>979.1</v>
      </c>
      <c r="L196" s="2">
        <v>978.25</v>
      </c>
      <c r="M196" s="2">
        <v>981.43</v>
      </c>
      <c r="N196" s="2">
        <v>1065.5999999999999</v>
      </c>
      <c r="O196" s="2">
        <v>557.70000000000005</v>
      </c>
      <c r="P196" s="2">
        <v>7299571</v>
      </c>
      <c r="Q196" s="2">
        <v>175319</v>
      </c>
    </row>
    <row r="197" spans="1:17" x14ac:dyDescent="0.25">
      <c r="A197" s="1">
        <v>45462</v>
      </c>
      <c r="B197" s="1" t="str">
        <f t="shared" si="12"/>
        <v>Wednesday</v>
      </c>
      <c r="C197" s="1" t="str">
        <f t="shared" si="13"/>
        <v>Jun</v>
      </c>
      <c r="D197" s="1" t="str">
        <f t="shared" si="14"/>
        <v>Q2</v>
      </c>
      <c r="E197" s="1" t="str">
        <f t="shared" si="15"/>
        <v>2024</v>
      </c>
      <c r="F197" t="s">
        <v>13</v>
      </c>
      <c r="G197" s="2">
        <v>990</v>
      </c>
      <c r="H197" s="2">
        <v>994.9</v>
      </c>
      <c r="I197" s="2">
        <v>975.15</v>
      </c>
      <c r="J197" s="2">
        <v>985.9</v>
      </c>
      <c r="K197" s="2">
        <v>977.5</v>
      </c>
      <c r="L197" s="2">
        <v>977.35</v>
      </c>
      <c r="M197" s="2">
        <v>983.31</v>
      </c>
      <c r="N197" s="2">
        <v>1065.5999999999999</v>
      </c>
      <c r="O197" s="2">
        <v>557.70000000000005</v>
      </c>
      <c r="P197" s="2">
        <v>7605719</v>
      </c>
      <c r="Q197" s="2">
        <v>182319</v>
      </c>
    </row>
    <row r="198" spans="1:17" x14ac:dyDescent="0.25">
      <c r="A198" s="1">
        <v>45461</v>
      </c>
      <c r="B198" s="1" t="str">
        <f t="shared" si="12"/>
        <v>Tuesday</v>
      </c>
      <c r="C198" s="1" t="str">
        <f t="shared" si="13"/>
        <v>Jun</v>
      </c>
      <c r="D198" s="1" t="str">
        <f t="shared" si="14"/>
        <v>Q2</v>
      </c>
      <c r="E198" s="1" t="str">
        <f t="shared" si="15"/>
        <v>2024</v>
      </c>
      <c r="F198" t="s">
        <v>13</v>
      </c>
      <c r="G198" s="2">
        <v>1000</v>
      </c>
      <c r="H198" s="2">
        <v>1003.55</v>
      </c>
      <c r="I198" s="2">
        <v>984</v>
      </c>
      <c r="J198" s="2">
        <v>993.4</v>
      </c>
      <c r="K198" s="2">
        <v>986.5</v>
      </c>
      <c r="L198" s="2">
        <v>985.9</v>
      </c>
      <c r="M198" s="2">
        <v>992.19</v>
      </c>
      <c r="N198" s="2">
        <v>1065.5999999999999</v>
      </c>
      <c r="O198" s="2">
        <v>557.70000000000005</v>
      </c>
      <c r="P198" s="2">
        <v>9845075</v>
      </c>
      <c r="Q198" s="2">
        <v>284505</v>
      </c>
    </row>
    <row r="199" spans="1:17" x14ac:dyDescent="0.25">
      <c r="A199" s="1">
        <v>45457</v>
      </c>
      <c r="B199" s="1" t="str">
        <f t="shared" si="12"/>
        <v>Friday</v>
      </c>
      <c r="C199" s="1" t="str">
        <f t="shared" si="13"/>
        <v>Jun</v>
      </c>
      <c r="D199" s="1" t="str">
        <f t="shared" si="14"/>
        <v>Q2</v>
      </c>
      <c r="E199" s="1" t="str">
        <f t="shared" si="15"/>
        <v>2024</v>
      </c>
      <c r="F199" t="s">
        <v>13</v>
      </c>
      <c r="G199" s="2">
        <v>990</v>
      </c>
      <c r="H199" s="2">
        <v>997.25</v>
      </c>
      <c r="I199" s="2">
        <v>981.4</v>
      </c>
      <c r="J199" s="2">
        <v>985.85</v>
      </c>
      <c r="K199" s="2">
        <v>992</v>
      </c>
      <c r="L199" s="2">
        <v>993.4</v>
      </c>
      <c r="M199" s="2">
        <v>990.22</v>
      </c>
      <c r="N199" s="2">
        <v>1065.5999999999999</v>
      </c>
      <c r="O199" s="2">
        <v>557.70000000000005</v>
      </c>
      <c r="P199" s="2">
        <v>11591421</v>
      </c>
      <c r="Q199" s="2">
        <v>309906</v>
      </c>
    </row>
    <row r="200" spans="1:17" x14ac:dyDescent="0.25">
      <c r="A200" s="1">
        <v>45456</v>
      </c>
      <c r="B200" s="1" t="str">
        <f t="shared" si="12"/>
        <v>Thursday</v>
      </c>
      <c r="C200" s="1" t="str">
        <f t="shared" si="13"/>
        <v>Jun</v>
      </c>
      <c r="D200" s="1" t="str">
        <f t="shared" si="14"/>
        <v>Q2</v>
      </c>
      <c r="E200" s="1" t="str">
        <f t="shared" si="15"/>
        <v>2024</v>
      </c>
      <c r="F200" t="s">
        <v>13</v>
      </c>
      <c r="G200" s="2">
        <v>1002</v>
      </c>
      <c r="H200" s="2">
        <v>1002</v>
      </c>
      <c r="I200" s="2">
        <v>980.75</v>
      </c>
      <c r="J200" s="2">
        <v>988.7</v>
      </c>
      <c r="K200" s="2">
        <v>985.8</v>
      </c>
      <c r="L200" s="2">
        <v>985.85</v>
      </c>
      <c r="M200" s="2">
        <v>988.6</v>
      </c>
      <c r="N200" s="2">
        <v>1065.5999999999999</v>
      </c>
      <c r="O200" s="2">
        <v>557.70000000000005</v>
      </c>
      <c r="P200" s="2">
        <v>12157226</v>
      </c>
      <c r="Q200" s="2">
        <v>295633</v>
      </c>
    </row>
    <row r="201" spans="1:17" x14ac:dyDescent="0.25">
      <c r="A201" s="1">
        <v>45455</v>
      </c>
      <c r="B201" s="1" t="str">
        <f t="shared" si="12"/>
        <v>Wednesday</v>
      </c>
      <c r="C201" s="1" t="str">
        <f t="shared" si="13"/>
        <v>Jun</v>
      </c>
      <c r="D201" s="1" t="str">
        <f t="shared" si="14"/>
        <v>Q2</v>
      </c>
      <c r="E201" s="1" t="str">
        <f t="shared" si="15"/>
        <v>2024</v>
      </c>
      <c r="F201" t="s">
        <v>13</v>
      </c>
      <c r="G201" s="2">
        <v>994.5</v>
      </c>
      <c r="H201" s="2">
        <v>1010.25</v>
      </c>
      <c r="I201" s="2">
        <v>987</v>
      </c>
      <c r="J201" s="2">
        <v>987.1</v>
      </c>
      <c r="K201" s="2">
        <v>989.2</v>
      </c>
      <c r="L201" s="2">
        <v>988.7</v>
      </c>
      <c r="M201" s="2">
        <v>996.34</v>
      </c>
      <c r="N201" s="2">
        <v>1065.5999999999999</v>
      </c>
      <c r="O201" s="2">
        <v>557.70000000000005</v>
      </c>
      <c r="P201" s="2">
        <v>17527993</v>
      </c>
      <c r="Q201" s="2">
        <v>430324</v>
      </c>
    </row>
    <row r="202" spans="1:17" x14ac:dyDescent="0.25">
      <c r="A202" s="1">
        <v>45454</v>
      </c>
      <c r="B202" s="1" t="str">
        <f t="shared" si="12"/>
        <v>Tuesday</v>
      </c>
      <c r="C202" s="1" t="str">
        <f t="shared" si="13"/>
        <v>Jun</v>
      </c>
      <c r="D202" s="1" t="str">
        <f t="shared" si="14"/>
        <v>Q2</v>
      </c>
      <c r="E202" s="1" t="str">
        <f t="shared" si="15"/>
        <v>2024</v>
      </c>
      <c r="F202" t="s">
        <v>13</v>
      </c>
      <c r="G202" s="2">
        <v>973.8</v>
      </c>
      <c r="H202" s="2">
        <v>992.55</v>
      </c>
      <c r="I202" s="2">
        <v>966.65</v>
      </c>
      <c r="J202" s="2">
        <v>975.15</v>
      </c>
      <c r="K202" s="2">
        <v>986.15</v>
      </c>
      <c r="L202" s="2">
        <v>987.1</v>
      </c>
      <c r="M202" s="2">
        <v>984.93</v>
      </c>
      <c r="N202" s="2">
        <v>1065.5999999999999</v>
      </c>
      <c r="O202" s="2">
        <v>557.70000000000005</v>
      </c>
      <c r="P202" s="2">
        <v>14828702</v>
      </c>
      <c r="Q202" s="2">
        <v>400232</v>
      </c>
    </row>
    <row r="203" spans="1:17" x14ac:dyDescent="0.25">
      <c r="A203" s="1">
        <v>45453</v>
      </c>
      <c r="B203" s="1" t="str">
        <f t="shared" si="12"/>
        <v>Monday</v>
      </c>
      <c r="C203" s="1" t="str">
        <f t="shared" si="13"/>
        <v>Jun</v>
      </c>
      <c r="D203" s="1" t="str">
        <f t="shared" si="14"/>
        <v>Q2</v>
      </c>
      <c r="E203" s="1" t="str">
        <f t="shared" si="15"/>
        <v>2024</v>
      </c>
      <c r="F203" t="s">
        <v>13</v>
      </c>
      <c r="G203" s="2">
        <v>977</v>
      </c>
      <c r="H203" s="2">
        <v>984.9</v>
      </c>
      <c r="I203" s="2">
        <v>969.1</v>
      </c>
      <c r="J203" s="2">
        <v>970.5</v>
      </c>
      <c r="K203" s="2">
        <v>974.8</v>
      </c>
      <c r="L203" s="2">
        <v>975.15</v>
      </c>
      <c r="M203" s="2">
        <v>976.04</v>
      </c>
      <c r="N203" s="2">
        <v>1065.5999999999999</v>
      </c>
      <c r="O203" s="2">
        <v>557.70000000000005</v>
      </c>
      <c r="P203" s="2">
        <v>9258931</v>
      </c>
      <c r="Q203" s="2">
        <v>202911</v>
      </c>
    </row>
    <row r="204" spans="1:17" x14ac:dyDescent="0.25">
      <c r="A204" s="1">
        <v>45450</v>
      </c>
      <c r="B204" s="1" t="str">
        <f t="shared" si="12"/>
        <v>Friday</v>
      </c>
      <c r="C204" s="1" t="str">
        <f t="shared" si="13"/>
        <v>Jun</v>
      </c>
      <c r="D204" s="1" t="str">
        <f t="shared" si="14"/>
        <v>Q2</v>
      </c>
      <c r="E204" s="1" t="str">
        <f t="shared" si="15"/>
        <v>2024</v>
      </c>
      <c r="F204" t="s">
        <v>13</v>
      </c>
      <c r="G204" s="2">
        <v>940</v>
      </c>
      <c r="H204" s="2">
        <v>973</v>
      </c>
      <c r="I204" s="2">
        <v>935.25</v>
      </c>
      <c r="J204" s="2">
        <v>938.25</v>
      </c>
      <c r="K204" s="2">
        <v>970</v>
      </c>
      <c r="L204" s="2">
        <v>970.5</v>
      </c>
      <c r="M204" s="2">
        <v>959.91</v>
      </c>
      <c r="N204" s="2">
        <v>1065.5999999999999</v>
      </c>
      <c r="O204" s="2">
        <v>537.9</v>
      </c>
      <c r="P204" s="2">
        <v>15577866</v>
      </c>
      <c r="Q204" s="2">
        <v>319681</v>
      </c>
    </row>
    <row r="205" spans="1:17" x14ac:dyDescent="0.25">
      <c r="A205" s="1">
        <v>45449</v>
      </c>
      <c r="B205" s="1" t="str">
        <f t="shared" si="12"/>
        <v>Thursday</v>
      </c>
      <c r="C205" s="1" t="str">
        <f t="shared" si="13"/>
        <v>Jun</v>
      </c>
      <c r="D205" s="1" t="str">
        <f t="shared" si="14"/>
        <v>Q2</v>
      </c>
      <c r="E205" s="1" t="str">
        <f t="shared" si="15"/>
        <v>2024</v>
      </c>
      <c r="F205" t="s">
        <v>13</v>
      </c>
      <c r="G205" s="2">
        <v>940</v>
      </c>
      <c r="H205" s="2">
        <v>946</v>
      </c>
      <c r="I205" s="2">
        <v>931.2</v>
      </c>
      <c r="J205" s="2">
        <v>929.95</v>
      </c>
      <c r="K205" s="2">
        <v>939.5</v>
      </c>
      <c r="L205" s="2">
        <v>938.25</v>
      </c>
      <c r="M205" s="2">
        <v>939.29</v>
      </c>
      <c r="N205" s="2">
        <v>1065.5999999999999</v>
      </c>
      <c r="O205" s="2">
        <v>537.9</v>
      </c>
      <c r="P205" s="2">
        <v>11792640</v>
      </c>
      <c r="Q205" s="2">
        <v>358066</v>
      </c>
    </row>
    <row r="206" spans="1:17" x14ac:dyDescent="0.25">
      <c r="A206" s="1">
        <v>45448</v>
      </c>
      <c r="B206" s="1" t="str">
        <f t="shared" si="12"/>
        <v>Wednesday</v>
      </c>
      <c r="C206" s="1" t="str">
        <f t="shared" si="13"/>
        <v>Jun</v>
      </c>
      <c r="D206" s="1" t="str">
        <f t="shared" si="14"/>
        <v>Q2</v>
      </c>
      <c r="E206" s="1" t="str">
        <f t="shared" si="15"/>
        <v>2024</v>
      </c>
      <c r="F206" t="s">
        <v>13</v>
      </c>
      <c r="G206" s="2">
        <v>924.95</v>
      </c>
      <c r="H206" s="2">
        <v>933.75</v>
      </c>
      <c r="I206" s="2">
        <v>890</v>
      </c>
      <c r="J206" s="2">
        <v>903.9</v>
      </c>
      <c r="K206" s="2">
        <v>928</v>
      </c>
      <c r="L206" s="2">
        <v>929.95</v>
      </c>
      <c r="M206" s="2">
        <v>917.55</v>
      </c>
      <c r="N206" s="2">
        <v>1065.5999999999999</v>
      </c>
      <c r="O206" s="2">
        <v>537.9</v>
      </c>
      <c r="P206" s="2">
        <v>13752553</v>
      </c>
      <c r="Q206" s="2">
        <v>347081</v>
      </c>
    </row>
    <row r="207" spans="1:17" x14ac:dyDescent="0.25">
      <c r="A207" s="1">
        <v>45447</v>
      </c>
      <c r="B207" s="1" t="str">
        <f t="shared" si="12"/>
        <v>Tuesday</v>
      </c>
      <c r="C207" s="1" t="str">
        <f t="shared" si="13"/>
        <v>Jun</v>
      </c>
      <c r="D207" s="1" t="str">
        <f t="shared" si="14"/>
        <v>Q2</v>
      </c>
      <c r="E207" s="1" t="str">
        <f t="shared" si="15"/>
        <v>2024</v>
      </c>
      <c r="F207" t="s">
        <v>13</v>
      </c>
      <c r="G207" s="2">
        <v>948</v>
      </c>
      <c r="H207" s="2">
        <v>948</v>
      </c>
      <c r="I207" s="2">
        <v>855.4</v>
      </c>
      <c r="J207" s="2">
        <v>950.45</v>
      </c>
      <c r="K207" s="2">
        <v>904.95</v>
      </c>
      <c r="L207" s="2">
        <v>903.9</v>
      </c>
      <c r="M207" s="2">
        <v>903.72</v>
      </c>
      <c r="N207" s="2">
        <v>1065.5999999999999</v>
      </c>
      <c r="O207" s="2">
        <v>537.9</v>
      </c>
      <c r="P207" s="2">
        <v>26554598</v>
      </c>
      <c r="Q207" s="2">
        <v>813215</v>
      </c>
    </row>
    <row r="208" spans="1:17" x14ac:dyDescent="0.25">
      <c r="A208" s="1">
        <v>45446</v>
      </c>
      <c r="B208" s="1" t="str">
        <f t="shared" si="12"/>
        <v>Monday</v>
      </c>
      <c r="C208" s="1" t="str">
        <f t="shared" si="13"/>
        <v>May</v>
      </c>
      <c r="D208" s="1" t="str">
        <f t="shared" si="14"/>
        <v>Q2</v>
      </c>
      <c r="E208" s="1" t="str">
        <f t="shared" si="15"/>
        <v>2024</v>
      </c>
      <c r="F208" t="s">
        <v>13</v>
      </c>
      <c r="G208" s="2">
        <v>963</v>
      </c>
      <c r="H208" s="2">
        <v>963</v>
      </c>
      <c r="I208" s="2">
        <v>934</v>
      </c>
      <c r="J208" s="2">
        <v>923</v>
      </c>
      <c r="K208" s="2">
        <v>951.5</v>
      </c>
      <c r="L208" s="2">
        <v>950.45</v>
      </c>
      <c r="M208" s="2">
        <v>945.99</v>
      </c>
      <c r="N208" s="2">
        <v>1065.5999999999999</v>
      </c>
      <c r="O208" s="2">
        <v>537.9</v>
      </c>
      <c r="P208" s="2">
        <v>12314329</v>
      </c>
      <c r="Q208" s="2">
        <v>303950</v>
      </c>
    </row>
    <row r="209" spans="1:17" x14ac:dyDescent="0.25">
      <c r="A209" s="1">
        <v>45443</v>
      </c>
      <c r="B209" s="1" t="str">
        <f t="shared" si="12"/>
        <v>Friday</v>
      </c>
      <c r="C209" s="1" t="str">
        <f t="shared" si="13"/>
        <v>May</v>
      </c>
      <c r="D209" s="1" t="str">
        <f t="shared" si="14"/>
        <v>Q2</v>
      </c>
      <c r="E209" s="1" t="str">
        <f t="shared" si="15"/>
        <v>2024</v>
      </c>
      <c r="F209" t="s">
        <v>13</v>
      </c>
      <c r="G209" s="2">
        <v>931.65</v>
      </c>
      <c r="H209" s="2">
        <v>937.25</v>
      </c>
      <c r="I209" s="2">
        <v>920.1</v>
      </c>
      <c r="J209" s="2">
        <v>923.95</v>
      </c>
      <c r="K209" s="2">
        <v>924.5</v>
      </c>
      <c r="L209" s="2">
        <v>923</v>
      </c>
      <c r="M209" s="2">
        <v>926.9</v>
      </c>
      <c r="N209" s="2">
        <v>1065.5999999999999</v>
      </c>
      <c r="O209" s="2">
        <v>516.4</v>
      </c>
      <c r="P209" s="2">
        <v>14289102</v>
      </c>
      <c r="Q209" s="2">
        <v>292240</v>
      </c>
    </row>
    <row r="210" spans="1:17" x14ac:dyDescent="0.25">
      <c r="A210" s="1">
        <v>45442</v>
      </c>
      <c r="B210" s="1" t="str">
        <f t="shared" si="12"/>
        <v>Thursday</v>
      </c>
      <c r="C210" s="1" t="str">
        <f t="shared" si="13"/>
        <v>May</v>
      </c>
      <c r="D210" s="1" t="str">
        <f t="shared" si="14"/>
        <v>Q2</v>
      </c>
      <c r="E210" s="1" t="str">
        <f t="shared" si="15"/>
        <v>2024</v>
      </c>
      <c r="F210" t="s">
        <v>13</v>
      </c>
      <c r="G210" s="2">
        <v>943.5</v>
      </c>
      <c r="H210" s="2">
        <v>951.45</v>
      </c>
      <c r="I210" s="2">
        <v>921</v>
      </c>
      <c r="J210" s="2">
        <v>943.6</v>
      </c>
      <c r="K210" s="2">
        <v>929.35</v>
      </c>
      <c r="L210" s="2">
        <v>923.95</v>
      </c>
      <c r="M210" s="2">
        <v>932.76</v>
      </c>
      <c r="N210" s="2">
        <v>1065.5999999999999</v>
      </c>
      <c r="O210" s="2">
        <v>516.4</v>
      </c>
      <c r="P210" s="2">
        <v>10170912</v>
      </c>
      <c r="Q210" s="2">
        <v>312135</v>
      </c>
    </row>
    <row r="211" spans="1:17" x14ac:dyDescent="0.25">
      <c r="A211" s="1">
        <v>45441</v>
      </c>
      <c r="B211" s="1" t="str">
        <f t="shared" si="12"/>
        <v>Wednesday</v>
      </c>
      <c r="C211" s="1" t="str">
        <f t="shared" si="13"/>
        <v>May</v>
      </c>
      <c r="D211" s="1" t="str">
        <f t="shared" si="14"/>
        <v>Q2</v>
      </c>
      <c r="E211" s="1" t="str">
        <f t="shared" si="15"/>
        <v>2024</v>
      </c>
      <c r="F211" t="s">
        <v>13</v>
      </c>
      <c r="G211" s="2">
        <v>946.95</v>
      </c>
      <c r="H211" s="2">
        <v>950.5</v>
      </c>
      <c r="I211" s="2">
        <v>938.8</v>
      </c>
      <c r="J211" s="2">
        <v>947.55</v>
      </c>
      <c r="K211" s="2">
        <v>943.5</v>
      </c>
      <c r="L211" s="2">
        <v>943.6</v>
      </c>
      <c r="M211" s="2">
        <v>944.04</v>
      </c>
      <c r="N211" s="2">
        <v>1065.5999999999999</v>
      </c>
      <c r="O211" s="2">
        <v>516.4</v>
      </c>
      <c r="P211" s="2">
        <v>8184019</v>
      </c>
      <c r="Q211" s="2">
        <v>235178</v>
      </c>
    </row>
    <row r="212" spans="1:17" x14ac:dyDescent="0.25">
      <c r="A212" s="1">
        <v>45440</v>
      </c>
      <c r="B212" s="1" t="str">
        <f t="shared" si="12"/>
        <v>Tuesday</v>
      </c>
      <c r="C212" s="1" t="str">
        <f t="shared" si="13"/>
        <v>May</v>
      </c>
      <c r="D212" s="1" t="str">
        <f t="shared" si="14"/>
        <v>Q2</v>
      </c>
      <c r="E212" s="1" t="str">
        <f t="shared" si="15"/>
        <v>2024</v>
      </c>
      <c r="F212" t="s">
        <v>13</v>
      </c>
      <c r="G212" s="2">
        <v>959</v>
      </c>
      <c r="H212" s="2">
        <v>961.9</v>
      </c>
      <c r="I212" s="2">
        <v>946</v>
      </c>
      <c r="J212" s="2">
        <v>958.5</v>
      </c>
      <c r="K212" s="2">
        <v>947.45</v>
      </c>
      <c r="L212" s="2">
        <v>947.55</v>
      </c>
      <c r="M212" s="2">
        <v>951.76</v>
      </c>
      <c r="N212" s="2">
        <v>1065.5999999999999</v>
      </c>
      <c r="O212" s="2">
        <v>516.4</v>
      </c>
      <c r="P212" s="2">
        <v>6618946</v>
      </c>
      <c r="Q212" s="2">
        <v>197988</v>
      </c>
    </row>
    <row r="213" spans="1:17" x14ac:dyDescent="0.25">
      <c r="A213" s="1">
        <v>45439</v>
      </c>
      <c r="B213" s="1" t="str">
        <f t="shared" si="12"/>
        <v>Monday</v>
      </c>
      <c r="C213" s="1" t="str">
        <f t="shared" si="13"/>
        <v>May</v>
      </c>
      <c r="D213" s="1" t="str">
        <f t="shared" si="14"/>
        <v>Q2</v>
      </c>
      <c r="E213" s="1" t="str">
        <f t="shared" si="15"/>
        <v>2024</v>
      </c>
      <c r="F213" t="s">
        <v>13</v>
      </c>
      <c r="G213" s="2">
        <v>964.9</v>
      </c>
      <c r="H213" s="2">
        <v>966.45</v>
      </c>
      <c r="I213" s="2">
        <v>952</v>
      </c>
      <c r="J213" s="2">
        <v>960.55</v>
      </c>
      <c r="K213" s="2">
        <v>959.2</v>
      </c>
      <c r="L213" s="2">
        <v>958.5</v>
      </c>
      <c r="M213" s="2">
        <v>960.65</v>
      </c>
      <c r="N213" s="2">
        <v>1065.5999999999999</v>
      </c>
      <c r="O213" s="2">
        <v>516.4</v>
      </c>
      <c r="P213" s="2">
        <v>6916555</v>
      </c>
      <c r="Q213" s="2">
        <v>174172</v>
      </c>
    </row>
    <row r="214" spans="1:17" x14ac:dyDescent="0.25">
      <c r="A214" s="1">
        <v>45436</v>
      </c>
      <c r="B214" s="1" t="str">
        <f t="shared" si="12"/>
        <v>Friday</v>
      </c>
      <c r="C214" s="1" t="str">
        <f t="shared" si="13"/>
        <v>May</v>
      </c>
      <c r="D214" s="1" t="str">
        <f t="shared" si="14"/>
        <v>Q2</v>
      </c>
      <c r="E214" s="1" t="str">
        <f t="shared" si="15"/>
        <v>2024</v>
      </c>
      <c r="F214" t="s">
        <v>13</v>
      </c>
      <c r="G214" s="2">
        <v>962.5</v>
      </c>
      <c r="H214" s="2">
        <v>970.95</v>
      </c>
      <c r="I214" s="2">
        <v>958</v>
      </c>
      <c r="J214" s="2">
        <v>962.35</v>
      </c>
      <c r="K214" s="2">
        <v>958.9</v>
      </c>
      <c r="L214" s="2">
        <v>960.55</v>
      </c>
      <c r="M214" s="2">
        <v>965.97</v>
      </c>
      <c r="N214" s="2">
        <v>1065.5999999999999</v>
      </c>
      <c r="O214" s="2">
        <v>509.1</v>
      </c>
      <c r="P214" s="2">
        <v>9590588</v>
      </c>
      <c r="Q214" s="2">
        <v>255338</v>
      </c>
    </row>
    <row r="215" spans="1:17" x14ac:dyDescent="0.25">
      <c r="A215" s="1">
        <v>45435</v>
      </c>
      <c r="B215" s="1" t="str">
        <f t="shared" si="12"/>
        <v>Thursday</v>
      </c>
      <c r="C215" s="1" t="str">
        <f t="shared" si="13"/>
        <v>May</v>
      </c>
      <c r="D215" s="1" t="str">
        <f t="shared" si="14"/>
        <v>Q2</v>
      </c>
      <c r="E215" s="1" t="str">
        <f t="shared" si="15"/>
        <v>2024</v>
      </c>
      <c r="F215" t="s">
        <v>13</v>
      </c>
      <c r="G215" s="2">
        <v>950</v>
      </c>
      <c r="H215" s="2">
        <v>963.45</v>
      </c>
      <c r="I215" s="2">
        <v>945.05</v>
      </c>
      <c r="J215" s="2">
        <v>947.5</v>
      </c>
      <c r="K215" s="2">
        <v>962.45</v>
      </c>
      <c r="L215" s="2">
        <v>962.35</v>
      </c>
      <c r="M215" s="2">
        <v>955.16</v>
      </c>
      <c r="N215" s="2">
        <v>1065.5999999999999</v>
      </c>
      <c r="O215" s="2">
        <v>509.1</v>
      </c>
      <c r="P215" s="2">
        <v>11211074</v>
      </c>
      <c r="Q215" s="2">
        <v>257170</v>
      </c>
    </row>
    <row r="216" spans="1:17" x14ac:dyDescent="0.25">
      <c r="A216" s="1">
        <v>45434</v>
      </c>
      <c r="B216" s="1" t="str">
        <f t="shared" si="12"/>
        <v>Wednesday</v>
      </c>
      <c r="C216" s="1" t="str">
        <f t="shared" si="13"/>
        <v>May</v>
      </c>
      <c r="D216" s="1" t="str">
        <f t="shared" si="14"/>
        <v>Q2</v>
      </c>
      <c r="E216" s="1" t="str">
        <f t="shared" si="15"/>
        <v>2024</v>
      </c>
      <c r="F216" t="s">
        <v>13</v>
      </c>
      <c r="G216" s="2">
        <v>952</v>
      </c>
      <c r="H216" s="2">
        <v>954.9</v>
      </c>
      <c r="I216" s="2">
        <v>942.55</v>
      </c>
      <c r="J216" s="2">
        <v>951.3</v>
      </c>
      <c r="K216" s="2">
        <v>947.95</v>
      </c>
      <c r="L216" s="2">
        <v>947.5</v>
      </c>
      <c r="M216" s="2">
        <v>948.59</v>
      </c>
      <c r="N216" s="2">
        <v>1065.5999999999999</v>
      </c>
      <c r="O216" s="2">
        <v>509.1</v>
      </c>
      <c r="P216" s="2">
        <v>9495279</v>
      </c>
      <c r="Q216" s="2">
        <v>243237</v>
      </c>
    </row>
    <row r="217" spans="1:17" x14ac:dyDescent="0.25">
      <c r="A217" s="1">
        <v>45433</v>
      </c>
      <c r="B217" s="1" t="str">
        <f t="shared" si="12"/>
        <v>Tuesday</v>
      </c>
      <c r="C217" s="1" t="str">
        <f t="shared" si="13"/>
        <v>May</v>
      </c>
      <c r="D217" s="1" t="str">
        <f t="shared" si="14"/>
        <v>Q2</v>
      </c>
      <c r="E217" s="1" t="str">
        <f t="shared" si="15"/>
        <v>2024</v>
      </c>
      <c r="F217" t="s">
        <v>13</v>
      </c>
      <c r="G217" s="2">
        <v>954</v>
      </c>
      <c r="H217" s="2">
        <v>956.65</v>
      </c>
      <c r="I217" s="2">
        <v>948.7</v>
      </c>
      <c r="J217" s="2">
        <v>953.95</v>
      </c>
      <c r="K217" s="2">
        <v>950.5</v>
      </c>
      <c r="L217" s="2">
        <v>951.3</v>
      </c>
      <c r="M217" s="2">
        <v>952.23</v>
      </c>
      <c r="N217" s="2">
        <v>1065.5999999999999</v>
      </c>
      <c r="O217" s="2">
        <v>509.1</v>
      </c>
      <c r="P217" s="2">
        <v>10055258</v>
      </c>
      <c r="Q217" s="2">
        <v>308306</v>
      </c>
    </row>
    <row r="218" spans="1:17" x14ac:dyDescent="0.25">
      <c r="A218" s="1">
        <v>45430</v>
      </c>
      <c r="B218" s="1" t="str">
        <f t="shared" si="12"/>
        <v>Saturday</v>
      </c>
      <c r="C218" s="1" t="str">
        <f t="shared" si="13"/>
        <v>May</v>
      </c>
      <c r="D218" s="1" t="str">
        <f t="shared" si="14"/>
        <v>Q2</v>
      </c>
      <c r="E218" s="1" t="str">
        <f t="shared" si="15"/>
        <v>2024</v>
      </c>
      <c r="F218" t="s">
        <v>13</v>
      </c>
      <c r="G218" s="2">
        <v>950</v>
      </c>
      <c r="H218" s="2">
        <v>958</v>
      </c>
      <c r="I218" s="2">
        <v>947</v>
      </c>
      <c r="J218" s="2">
        <v>945.7</v>
      </c>
      <c r="K218" s="2">
        <v>954</v>
      </c>
      <c r="L218" s="2">
        <v>953.95</v>
      </c>
      <c r="M218" s="2">
        <v>951.58</v>
      </c>
      <c r="N218" s="2">
        <v>1065.5999999999999</v>
      </c>
      <c r="O218" s="2">
        <v>504.75</v>
      </c>
      <c r="P218" s="2">
        <v>1930324</v>
      </c>
      <c r="Q218" s="2">
        <v>46830</v>
      </c>
    </row>
    <row r="219" spans="1:17" x14ac:dyDescent="0.25">
      <c r="A219" s="1">
        <v>45429</v>
      </c>
      <c r="B219" s="1" t="str">
        <f t="shared" si="12"/>
        <v>Friday</v>
      </c>
      <c r="C219" s="1" t="str">
        <f t="shared" si="13"/>
        <v>May</v>
      </c>
      <c r="D219" s="1" t="str">
        <f t="shared" si="14"/>
        <v>Q2</v>
      </c>
      <c r="E219" s="1" t="str">
        <f t="shared" si="15"/>
        <v>2024</v>
      </c>
      <c r="F219" t="s">
        <v>13</v>
      </c>
      <c r="G219" s="2">
        <v>944</v>
      </c>
      <c r="H219" s="2">
        <v>953.4</v>
      </c>
      <c r="I219" s="2">
        <v>941</v>
      </c>
      <c r="J219" s="2">
        <v>936.4</v>
      </c>
      <c r="K219" s="2">
        <v>944.95</v>
      </c>
      <c r="L219" s="2">
        <v>945.7</v>
      </c>
      <c r="M219" s="2">
        <v>946.87</v>
      </c>
      <c r="N219" s="2">
        <v>1065.5999999999999</v>
      </c>
      <c r="O219" s="2">
        <v>504.75</v>
      </c>
      <c r="P219" s="2">
        <v>13205512</v>
      </c>
      <c r="Q219" s="2">
        <v>345592</v>
      </c>
    </row>
    <row r="220" spans="1:17" x14ac:dyDescent="0.25">
      <c r="A220" s="1">
        <v>45428</v>
      </c>
      <c r="B220" s="1" t="str">
        <f t="shared" si="12"/>
        <v>Thursday</v>
      </c>
      <c r="C220" s="1" t="str">
        <f t="shared" si="13"/>
        <v>May</v>
      </c>
      <c r="D220" s="1" t="str">
        <f t="shared" si="14"/>
        <v>Q2</v>
      </c>
      <c r="E220" s="1" t="str">
        <f t="shared" si="15"/>
        <v>2024</v>
      </c>
      <c r="F220" t="s">
        <v>13</v>
      </c>
      <c r="G220" s="2">
        <v>953.2</v>
      </c>
      <c r="H220" s="2">
        <v>954.4</v>
      </c>
      <c r="I220" s="2">
        <v>919</v>
      </c>
      <c r="J220" s="2">
        <v>947.3</v>
      </c>
      <c r="K220" s="2">
        <v>939.2</v>
      </c>
      <c r="L220" s="2">
        <v>936.4</v>
      </c>
      <c r="M220" s="2">
        <v>932.31</v>
      </c>
      <c r="N220" s="2">
        <v>1065.5999999999999</v>
      </c>
      <c r="O220" s="2">
        <v>504.75</v>
      </c>
      <c r="P220" s="2">
        <v>31240770</v>
      </c>
      <c r="Q220" s="2">
        <v>991302</v>
      </c>
    </row>
    <row r="221" spans="1:17" x14ac:dyDescent="0.25">
      <c r="A221" s="1">
        <v>45427</v>
      </c>
      <c r="B221" s="1" t="str">
        <f t="shared" si="12"/>
        <v>Wednesday</v>
      </c>
      <c r="C221" s="1" t="str">
        <f t="shared" si="13"/>
        <v>May</v>
      </c>
      <c r="D221" s="1" t="str">
        <f t="shared" si="14"/>
        <v>Q2</v>
      </c>
      <c r="E221" s="1" t="str">
        <f t="shared" si="15"/>
        <v>2024</v>
      </c>
      <c r="F221" t="s">
        <v>13</v>
      </c>
      <c r="G221" s="2">
        <v>970.95</v>
      </c>
      <c r="H221" s="2">
        <v>972.95</v>
      </c>
      <c r="I221" s="2">
        <v>945.1</v>
      </c>
      <c r="J221" s="2">
        <v>964.65</v>
      </c>
      <c r="K221" s="2">
        <v>946</v>
      </c>
      <c r="L221" s="2">
        <v>947.3</v>
      </c>
      <c r="M221" s="2">
        <v>955.59</v>
      </c>
      <c r="N221" s="2">
        <v>1065.5999999999999</v>
      </c>
      <c r="O221" s="2">
        <v>504.75</v>
      </c>
      <c r="P221" s="2">
        <v>19668239</v>
      </c>
      <c r="Q221" s="2">
        <v>552332</v>
      </c>
    </row>
    <row r="222" spans="1:17" x14ac:dyDescent="0.25">
      <c r="A222" s="1">
        <v>45426</v>
      </c>
      <c r="B222" s="1" t="str">
        <f t="shared" si="12"/>
        <v>Tuesday</v>
      </c>
      <c r="C222" s="1" t="str">
        <f t="shared" si="13"/>
        <v>May</v>
      </c>
      <c r="D222" s="1" t="str">
        <f t="shared" si="14"/>
        <v>Q2</v>
      </c>
      <c r="E222" s="1" t="str">
        <f t="shared" si="15"/>
        <v>2024</v>
      </c>
      <c r="F222" t="s">
        <v>13</v>
      </c>
      <c r="G222" s="2">
        <v>965.1</v>
      </c>
      <c r="H222" s="2">
        <v>968</v>
      </c>
      <c r="I222" s="2">
        <v>953.25</v>
      </c>
      <c r="J222" s="2">
        <v>959.75</v>
      </c>
      <c r="K222" s="2">
        <v>964.75</v>
      </c>
      <c r="L222" s="2">
        <v>964.65</v>
      </c>
      <c r="M222" s="2">
        <v>961.48</v>
      </c>
      <c r="N222" s="2">
        <v>1065.5999999999999</v>
      </c>
      <c r="O222" s="2">
        <v>504.75</v>
      </c>
      <c r="P222" s="2">
        <v>16325689</v>
      </c>
      <c r="Q222" s="2">
        <v>444401</v>
      </c>
    </row>
    <row r="223" spans="1:17" x14ac:dyDescent="0.25">
      <c r="A223" s="1">
        <v>45425</v>
      </c>
      <c r="B223" s="1" t="str">
        <f t="shared" si="12"/>
        <v>Monday</v>
      </c>
      <c r="C223" s="1" t="str">
        <f t="shared" si="13"/>
        <v>May</v>
      </c>
      <c r="D223" s="1" t="str">
        <f t="shared" si="14"/>
        <v>Q2</v>
      </c>
      <c r="E223" s="1" t="str">
        <f t="shared" si="15"/>
        <v>2024</v>
      </c>
      <c r="F223" t="s">
        <v>13</v>
      </c>
      <c r="G223" s="2">
        <v>1005</v>
      </c>
      <c r="H223" s="2">
        <v>1008.7</v>
      </c>
      <c r="I223" s="2">
        <v>947.2</v>
      </c>
      <c r="J223" s="2">
        <v>1046.6500000000001</v>
      </c>
      <c r="K223" s="2">
        <v>959.4</v>
      </c>
      <c r="L223" s="2">
        <v>959.75</v>
      </c>
      <c r="M223" s="2">
        <v>965.73</v>
      </c>
      <c r="N223" s="2">
        <v>1065.5999999999999</v>
      </c>
      <c r="O223" s="2">
        <v>504.75</v>
      </c>
      <c r="P223" s="2">
        <v>58974762</v>
      </c>
      <c r="Q223" s="2">
        <v>1249124</v>
      </c>
    </row>
    <row r="224" spans="1:17" x14ac:dyDescent="0.25">
      <c r="A224" s="1">
        <v>45422</v>
      </c>
      <c r="B224" s="1" t="str">
        <f t="shared" si="12"/>
        <v>Friday</v>
      </c>
      <c r="C224" s="1" t="str">
        <f t="shared" si="13"/>
        <v>May</v>
      </c>
      <c r="D224" s="1" t="str">
        <f t="shared" si="14"/>
        <v>Q2</v>
      </c>
      <c r="E224" s="1" t="str">
        <f t="shared" si="15"/>
        <v>2024</v>
      </c>
      <c r="F224" t="s">
        <v>13</v>
      </c>
      <c r="G224" s="2">
        <v>1037</v>
      </c>
      <c r="H224" s="2">
        <v>1050.3499999999999</v>
      </c>
      <c r="I224" s="2">
        <v>1030.4000000000001</v>
      </c>
      <c r="J224" s="2">
        <v>1030.3</v>
      </c>
      <c r="K224" s="2">
        <v>1047</v>
      </c>
      <c r="L224" s="2">
        <v>1046.6500000000001</v>
      </c>
      <c r="M224" s="2">
        <v>1041.7</v>
      </c>
      <c r="N224" s="2">
        <v>1065.5999999999999</v>
      </c>
      <c r="O224" s="2">
        <v>478.1</v>
      </c>
      <c r="P224" s="2">
        <v>13383183</v>
      </c>
      <c r="Q224" s="2">
        <v>272084</v>
      </c>
    </row>
    <row r="225" spans="1:17" x14ac:dyDescent="0.25">
      <c r="A225" s="1">
        <v>45421</v>
      </c>
      <c r="B225" s="1" t="str">
        <f t="shared" si="12"/>
        <v>Thursday</v>
      </c>
      <c r="C225" s="1" t="str">
        <f t="shared" si="13"/>
        <v>May</v>
      </c>
      <c r="D225" s="1" t="str">
        <f t="shared" si="14"/>
        <v>Q2</v>
      </c>
      <c r="E225" s="1" t="str">
        <f t="shared" si="15"/>
        <v>2024</v>
      </c>
      <c r="F225" t="s">
        <v>13</v>
      </c>
      <c r="G225" s="2">
        <v>1011</v>
      </c>
      <c r="H225" s="2">
        <v>1043.2</v>
      </c>
      <c r="I225" s="2">
        <v>1007.3</v>
      </c>
      <c r="J225" s="2">
        <v>1012.1</v>
      </c>
      <c r="K225" s="2">
        <v>1030</v>
      </c>
      <c r="L225" s="2">
        <v>1030.3</v>
      </c>
      <c r="M225" s="2">
        <v>1031.3699999999999</v>
      </c>
      <c r="N225" s="2">
        <v>1065.5999999999999</v>
      </c>
      <c r="O225" s="2">
        <v>478.1</v>
      </c>
      <c r="P225" s="2">
        <v>19189798</v>
      </c>
      <c r="Q225" s="2">
        <v>373117</v>
      </c>
    </row>
    <row r="226" spans="1:17" x14ac:dyDescent="0.25">
      <c r="A226" s="1">
        <v>45420</v>
      </c>
      <c r="B226" s="1" t="str">
        <f t="shared" si="12"/>
        <v>Wednesday</v>
      </c>
      <c r="C226" s="1" t="str">
        <f t="shared" si="13"/>
        <v>May</v>
      </c>
      <c r="D226" s="1" t="str">
        <f t="shared" si="14"/>
        <v>Q2</v>
      </c>
      <c r="E226" s="1" t="str">
        <f t="shared" si="15"/>
        <v>2024</v>
      </c>
      <c r="F226" t="s">
        <v>13</v>
      </c>
      <c r="G226" s="2">
        <v>986.95</v>
      </c>
      <c r="H226" s="2">
        <v>1015</v>
      </c>
      <c r="I226" s="2">
        <v>977</v>
      </c>
      <c r="J226" s="2">
        <v>988.55</v>
      </c>
      <c r="K226" s="2">
        <v>1013.1</v>
      </c>
      <c r="L226" s="2">
        <v>1012.1</v>
      </c>
      <c r="M226" s="2">
        <v>1001.59</v>
      </c>
      <c r="N226" s="2">
        <v>1065.5999999999999</v>
      </c>
      <c r="O226" s="2">
        <v>478.1</v>
      </c>
      <c r="P226" s="2">
        <v>7519352</v>
      </c>
      <c r="Q226" s="2">
        <v>176945</v>
      </c>
    </row>
    <row r="227" spans="1:17" x14ac:dyDescent="0.25">
      <c r="A227" s="1">
        <v>45419</v>
      </c>
      <c r="B227" s="1" t="str">
        <f t="shared" si="12"/>
        <v>Tuesday</v>
      </c>
      <c r="C227" s="1" t="str">
        <f t="shared" si="13"/>
        <v>May</v>
      </c>
      <c r="D227" s="1" t="str">
        <f t="shared" si="14"/>
        <v>Q2</v>
      </c>
      <c r="E227" s="1" t="str">
        <f t="shared" si="15"/>
        <v>2024</v>
      </c>
      <c r="F227" t="s">
        <v>13</v>
      </c>
      <c r="G227" s="2">
        <v>1016.2</v>
      </c>
      <c r="H227" s="2">
        <v>1017.95</v>
      </c>
      <c r="I227" s="2">
        <v>982.05</v>
      </c>
      <c r="J227" s="2">
        <v>1016.2</v>
      </c>
      <c r="K227" s="2">
        <v>988</v>
      </c>
      <c r="L227" s="2">
        <v>988.55</v>
      </c>
      <c r="M227" s="2">
        <v>995.72</v>
      </c>
      <c r="N227" s="2">
        <v>1065.5999999999999</v>
      </c>
      <c r="O227" s="2">
        <v>478.1</v>
      </c>
      <c r="P227" s="2">
        <v>8877426</v>
      </c>
      <c r="Q227" s="2">
        <v>268478</v>
      </c>
    </row>
    <row r="228" spans="1:17" x14ac:dyDescent="0.25">
      <c r="A228" s="1">
        <v>45418</v>
      </c>
      <c r="B228" s="1" t="str">
        <f t="shared" si="12"/>
        <v>Monday</v>
      </c>
      <c r="C228" s="1" t="str">
        <f t="shared" si="13"/>
        <v>May</v>
      </c>
      <c r="D228" s="1" t="str">
        <f t="shared" si="14"/>
        <v>Q2</v>
      </c>
      <c r="E228" s="1" t="str">
        <f t="shared" si="15"/>
        <v>2024</v>
      </c>
      <c r="F228" t="s">
        <v>13</v>
      </c>
      <c r="G228" s="2">
        <v>1015</v>
      </c>
      <c r="H228" s="2">
        <v>1019.8</v>
      </c>
      <c r="I228" s="2">
        <v>1005</v>
      </c>
      <c r="J228" s="2">
        <v>1013.4</v>
      </c>
      <c r="K228" s="2">
        <v>1015.1</v>
      </c>
      <c r="L228" s="2">
        <v>1016.2</v>
      </c>
      <c r="M228" s="2">
        <v>1013.3</v>
      </c>
      <c r="N228" s="2">
        <v>1065.5999999999999</v>
      </c>
      <c r="O228" s="2">
        <v>478.1</v>
      </c>
      <c r="P228" s="2">
        <v>5724760</v>
      </c>
      <c r="Q228" s="2">
        <v>152486</v>
      </c>
    </row>
    <row r="229" spans="1:17" x14ac:dyDescent="0.25">
      <c r="A229" s="1">
        <v>45415</v>
      </c>
      <c r="B229" s="1" t="str">
        <f t="shared" si="12"/>
        <v>Friday</v>
      </c>
      <c r="C229" s="1" t="str">
        <f t="shared" si="13"/>
        <v>May</v>
      </c>
      <c r="D229" s="1" t="str">
        <f t="shared" si="14"/>
        <v>Q2</v>
      </c>
      <c r="E229" s="1" t="str">
        <f t="shared" si="15"/>
        <v>2024</v>
      </c>
      <c r="F229" t="s">
        <v>13</v>
      </c>
      <c r="G229" s="2">
        <v>1038</v>
      </c>
      <c r="H229" s="2">
        <v>1040.2</v>
      </c>
      <c r="I229" s="2">
        <v>996</v>
      </c>
      <c r="J229" s="2">
        <v>1027.8</v>
      </c>
      <c r="K229" s="2">
        <v>1014.5</v>
      </c>
      <c r="L229" s="2">
        <v>1013.4</v>
      </c>
      <c r="M229" s="2">
        <v>1017.92</v>
      </c>
      <c r="N229" s="2">
        <v>1065.5999999999999</v>
      </c>
      <c r="O229" s="2">
        <v>474.55</v>
      </c>
      <c r="P229" s="2">
        <v>11871773</v>
      </c>
      <c r="Q229" s="2">
        <v>294136</v>
      </c>
    </row>
    <row r="230" spans="1:17" x14ac:dyDescent="0.25">
      <c r="A230" s="1">
        <v>45414</v>
      </c>
      <c r="B230" s="1" t="str">
        <f t="shared" si="12"/>
        <v>Thursday</v>
      </c>
      <c r="C230" s="1" t="str">
        <f t="shared" si="13"/>
        <v>Apr</v>
      </c>
      <c r="D230" s="1" t="str">
        <f t="shared" si="14"/>
        <v>Q2</v>
      </c>
      <c r="E230" s="1" t="str">
        <f t="shared" si="15"/>
        <v>2024</v>
      </c>
      <c r="F230" t="s">
        <v>13</v>
      </c>
      <c r="G230" s="2">
        <v>1020</v>
      </c>
      <c r="H230" s="2">
        <v>1030</v>
      </c>
      <c r="I230" s="2">
        <v>1011.55</v>
      </c>
      <c r="J230" s="2">
        <v>1007.9</v>
      </c>
      <c r="K230" s="2">
        <v>1028.8</v>
      </c>
      <c r="L230" s="2">
        <v>1027.8</v>
      </c>
      <c r="M230" s="2">
        <v>1024.1199999999999</v>
      </c>
      <c r="N230" s="2">
        <v>1065.5999999999999</v>
      </c>
      <c r="O230" s="2">
        <v>474.55</v>
      </c>
      <c r="P230" s="2">
        <v>12695047</v>
      </c>
      <c r="Q230" s="2">
        <v>325584</v>
      </c>
    </row>
    <row r="231" spans="1:17" x14ac:dyDescent="0.25">
      <c r="A231" s="1">
        <v>45412</v>
      </c>
      <c r="B231" s="1" t="str">
        <f t="shared" si="12"/>
        <v>Tuesday</v>
      </c>
      <c r="C231" s="1" t="str">
        <f t="shared" si="13"/>
        <v>Apr</v>
      </c>
      <c r="D231" s="1" t="str">
        <f t="shared" si="14"/>
        <v>Q2</v>
      </c>
      <c r="E231" s="1" t="str">
        <f t="shared" si="15"/>
        <v>2024</v>
      </c>
      <c r="F231" t="s">
        <v>13</v>
      </c>
      <c r="G231" s="2">
        <v>1005</v>
      </c>
      <c r="H231" s="2">
        <v>1019.45</v>
      </c>
      <c r="I231" s="2">
        <v>997.5</v>
      </c>
      <c r="J231" s="2">
        <v>1000.6</v>
      </c>
      <c r="K231" s="2">
        <v>1008</v>
      </c>
      <c r="L231" s="2">
        <v>1007.9</v>
      </c>
      <c r="M231" s="2">
        <v>1013.13</v>
      </c>
      <c r="N231" s="2">
        <v>1065.5999999999999</v>
      </c>
      <c r="O231" s="2">
        <v>474.55</v>
      </c>
      <c r="P231" s="2">
        <v>9047011</v>
      </c>
      <c r="Q231" s="2">
        <v>217132</v>
      </c>
    </row>
    <row r="232" spans="1:17" x14ac:dyDescent="0.25">
      <c r="A232" s="1">
        <v>45411</v>
      </c>
      <c r="B232" s="1" t="str">
        <f t="shared" si="12"/>
        <v>Monday</v>
      </c>
      <c r="C232" s="1" t="str">
        <f t="shared" si="13"/>
        <v>Apr</v>
      </c>
      <c r="D232" s="1" t="str">
        <f t="shared" si="14"/>
        <v>Q2</v>
      </c>
      <c r="E232" s="1" t="str">
        <f t="shared" si="15"/>
        <v>2024</v>
      </c>
      <c r="F232" t="s">
        <v>13</v>
      </c>
      <c r="G232" s="2">
        <v>1003.05</v>
      </c>
      <c r="H232" s="2">
        <v>1005.75</v>
      </c>
      <c r="I232" s="2">
        <v>999</v>
      </c>
      <c r="J232" s="2">
        <v>999.5</v>
      </c>
      <c r="K232" s="2">
        <v>1000.05</v>
      </c>
      <c r="L232" s="2">
        <v>1000.6</v>
      </c>
      <c r="M232" s="2">
        <v>1001.33</v>
      </c>
      <c r="N232" s="2">
        <v>1065.5999999999999</v>
      </c>
      <c r="O232" s="2">
        <v>474.55</v>
      </c>
      <c r="P232" s="2">
        <v>4764750</v>
      </c>
      <c r="Q232" s="2">
        <v>138831</v>
      </c>
    </row>
    <row r="233" spans="1:17" x14ac:dyDescent="0.25">
      <c r="A233" s="1">
        <v>45408</v>
      </c>
      <c r="B233" s="1" t="str">
        <f t="shared" si="12"/>
        <v>Friday</v>
      </c>
      <c r="C233" s="1" t="str">
        <f t="shared" si="13"/>
        <v>Apr</v>
      </c>
      <c r="D233" s="1" t="str">
        <f t="shared" si="14"/>
        <v>Q2</v>
      </c>
      <c r="E233" s="1" t="str">
        <f t="shared" si="15"/>
        <v>2024</v>
      </c>
      <c r="F233" t="s">
        <v>13</v>
      </c>
      <c r="G233" s="2">
        <v>1007.8</v>
      </c>
      <c r="H233" s="2">
        <v>1008.95</v>
      </c>
      <c r="I233" s="2">
        <v>996.6</v>
      </c>
      <c r="J233" s="2">
        <v>1001.25</v>
      </c>
      <c r="K233" s="2">
        <v>1000</v>
      </c>
      <c r="L233" s="2">
        <v>999.5</v>
      </c>
      <c r="M233" s="2">
        <v>1002.09</v>
      </c>
      <c r="N233" s="2">
        <v>1065.5999999999999</v>
      </c>
      <c r="O233" s="2">
        <v>468.3</v>
      </c>
      <c r="P233" s="2">
        <v>7937500</v>
      </c>
      <c r="Q233" s="2">
        <v>207973</v>
      </c>
    </row>
    <row r="234" spans="1:17" x14ac:dyDescent="0.25">
      <c r="A234" s="1">
        <v>45407</v>
      </c>
      <c r="B234" s="1" t="str">
        <f t="shared" si="12"/>
        <v>Thursday</v>
      </c>
      <c r="C234" s="1" t="str">
        <f t="shared" si="13"/>
        <v>Apr</v>
      </c>
      <c r="D234" s="1" t="str">
        <f t="shared" si="14"/>
        <v>Q2</v>
      </c>
      <c r="E234" s="1" t="str">
        <f t="shared" si="15"/>
        <v>2024</v>
      </c>
      <c r="F234" t="s">
        <v>13</v>
      </c>
      <c r="G234" s="2">
        <v>992.5</v>
      </c>
      <c r="H234" s="2">
        <v>1003.3</v>
      </c>
      <c r="I234" s="2">
        <v>989.5</v>
      </c>
      <c r="J234" s="2">
        <v>991.65</v>
      </c>
      <c r="K234" s="2">
        <v>1002</v>
      </c>
      <c r="L234" s="2">
        <v>1001.25</v>
      </c>
      <c r="M234" s="2">
        <v>996.95</v>
      </c>
      <c r="N234" s="2">
        <v>1065.5999999999999</v>
      </c>
      <c r="O234" s="2">
        <v>468.3</v>
      </c>
      <c r="P234" s="2">
        <v>8366455</v>
      </c>
      <c r="Q234" s="2">
        <v>191801</v>
      </c>
    </row>
    <row r="235" spans="1:17" x14ac:dyDescent="0.25">
      <c r="A235" s="1">
        <v>45406</v>
      </c>
      <c r="B235" s="1" t="str">
        <f t="shared" si="12"/>
        <v>Wednesday</v>
      </c>
      <c r="C235" s="1" t="str">
        <f t="shared" si="13"/>
        <v>Apr</v>
      </c>
      <c r="D235" s="1" t="str">
        <f t="shared" si="14"/>
        <v>Q2</v>
      </c>
      <c r="E235" s="1" t="str">
        <f t="shared" si="15"/>
        <v>2024</v>
      </c>
      <c r="F235" t="s">
        <v>13</v>
      </c>
      <c r="G235" s="2">
        <v>992.4</v>
      </c>
      <c r="H235" s="2">
        <v>995.9</v>
      </c>
      <c r="I235" s="2">
        <v>988</v>
      </c>
      <c r="J235" s="2">
        <v>986.75</v>
      </c>
      <c r="K235" s="2">
        <v>990.8</v>
      </c>
      <c r="L235" s="2">
        <v>991.65</v>
      </c>
      <c r="M235" s="2">
        <v>991.57</v>
      </c>
      <c r="N235" s="2">
        <v>1065.5999999999999</v>
      </c>
      <c r="O235" s="2">
        <v>468.3</v>
      </c>
      <c r="P235" s="2">
        <v>4671450</v>
      </c>
      <c r="Q235" s="2">
        <v>132021</v>
      </c>
    </row>
    <row r="236" spans="1:17" x14ac:dyDescent="0.25">
      <c r="A236" s="1">
        <v>45405</v>
      </c>
      <c r="B236" s="1" t="str">
        <f t="shared" si="12"/>
        <v>Tuesday</v>
      </c>
      <c r="C236" s="1" t="str">
        <f t="shared" si="13"/>
        <v>Apr</v>
      </c>
      <c r="D236" s="1" t="str">
        <f t="shared" si="14"/>
        <v>Q2</v>
      </c>
      <c r="E236" s="1" t="str">
        <f t="shared" si="15"/>
        <v>2024</v>
      </c>
      <c r="F236" t="s">
        <v>13</v>
      </c>
      <c r="G236" s="2">
        <v>976</v>
      </c>
      <c r="H236" s="2">
        <v>994.5</v>
      </c>
      <c r="I236" s="2">
        <v>974.05</v>
      </c>
      <c r="J236" s="2">
        <v>973.55</v>
      </c>
      <c r="K236" s="2">
        <v>987.75</v>
      </c>
      <c r="L236" s="2">
        <v>986.75</v>
      </c>
      <c r="M236" s="2">
        <v>985.98</v>
      </c>
      <c r="N236" s="2">
        <v>1065.5999999999999</v>
      </c>
      <c r="O236" s="2">
        <v>468.3</v>
      </c>
      <c r="P236" s="2">
        <v>7994116</v>
      </c>
      <c r="Q236" s="2">
        <v>204024</v>
      </c>
    </row>
    <row r="237" spans="1:17" x14ac:dyDescent="0.25">
      <c r="A237" s="1">
        <v>45404</v>
      </c>
      <c r="B237" s="1" t="str">
        <f t="shared" si="12"/>
        <v>Monday</v>
      </c>
      <c r="C237" s="1" t="str">
        <f t="shared" si="13"/>
        <v>Apr</v>
      </c>
      <c r="D237" s="1" t="str">
        <f t="shared" si="14"/>
        <v>Q2</v>
      </c>
      <c r="E237" s="1" t="str">
        <f t="shared" si="15"/>
        <v>2024</v>
      </c>
      <c r="F237" t="s">
        <v>13</v>
      </c>
      <c r="G237" s="2">
        <v>978.75</v>
      </c>
      <c r="H237" s="2">
        <v>978.75</v>
      </c>
      <c r="I237" s="2">
        <v>966</v>
      </c>
      <c r="J237" s="2">
        <v>963.2</v>
      </c>
      <c r="K237" s="2">
        <v>974.7</v>
      </c>
      <c r="L237" s="2">
        <v>973.55</v>
      </c>
      <c r="M237" s="2">
        <v>971.86</v>
      </c>
      <c r="N237" s="2">
        <v>1065.5999999999999</v>
      </c>
      <c r="O237" s="2">
        <v>468.3</v>
      </c>
      <c r="P237" s="2">
        <v>7187959</v>
      </c>
      <c r="Q237" s="2">
        <v>185545</v>
      </c>
    </row>
    <row r="238" spans="1:17" x14ac:dyDescent="0.25">
      <c r="A238" s="1">
        <v>45401</v>
      </c>
      <c r="B238" s="1" t="str">
        <f t="shared" si="12"/>
        <v>Friday</v>
      </c>
      <c r="C238" s="1" t="str">
        <f t="shared" si="13"/>
        <v>Apr</v>
      </c>
      <c r="D238" s="1" t="str">
        <f t="shared" si="14"/>
        <v>Q2</v>
      </c>
      <c r="E238" s="1" t="str">
        <f t="shared" si="15"/>
        <v>2024</v>
      </c>
      <c r="F238" t="s">
        <v>13</v>
      </c>
      <c r="G238" s="2">
        <v>964</v>
      </c>
      <c r="H238" s="2">
        <v>967.95</v>
      </c>
      <c r="I238" s="2">
        <v>944</v>
      </c>
      <c r="J238" s="2">
        <v>971.35</v>
      </c>
      <c r="K238" s="2">
        <v>964.4</v>
      </c>
      <c r="L238" s="2">
        <v>963.2</v>
      </c>
      <c r="M238" s="2">
        <v>956.12</v>
      </c>
      <c r="N238" s="2">
        <v>1065.5999999999999</v>
      </c>
      <c r="O238" s="2">
        <v>465.8</v>
      </c>
      <c r="P238" s="2">
        <v>15381310</v>
      </c>
      <c r="Q238" s="2">
        <v>455804</v>
      </c>
    </row>
    <row r="239" spans="1:17" x14ac:dyDescent="0.25">
      <c r="A239" s="1">
        <v>45400</v>
      </c>
      <c r="B239" s="1" t="str">
        <f t="shared" si="12"/>
        <v>Thursday</v>
      </c>
      <c r="C239" s="1" t="str">
        <f t="shared" si="13"/>
        <v>Apr</v>
      </c>
      <c r="D239" s="1" t="str">
        <f t="shared" si="14"/>
        <v>Q2</v>
      </c>
      <c r="E239" s="1" t="str">
        <f t="shared" si="15"/>
        <v>2024</v>
      </c>
      <c r="F239" t="s">
        <v>13</v>
      </c>
      <c r="G239" s="2">
        <v>996.35</v>
      </c>
      <c r="H239" s="2">
        <v>1003.1</v>
      </c>
      <c r="I239" s="2">
        <v>966.25</v>
      </c>
      <c r="J239" s="2">
        <v>992.8</v>
      </c>
      <c r="K239" s="2">
        <v>977.55</v>
      </c>
      <c r="L239" s="2">
        <v>971.35</v>
      </c>
      <c r="M239" s="2">
        <v>985.92</v>
      </c>
      <c r="N239" s="2">
        <v>1065.5999999999999</v>
      </c>
      <c r="O239" s="2">
        <v>465.8</v>
      </c>
      <c r="P239" s="2">
        <v>13540490</v>
      </c>
      <c r="Q239" s="2">
        <v>386743</v>
      </c>
    </row>
    <row r="240" spans="1:17" x14ac:dyDescent="0.25">
      <c r="A240" s="1">
        <v>45398</v>
      </c>
      <c r="B240" s="1" t="str">
        <f t="shared" si="12"/>
        <v>Tuesday</v>
      </c>
      <c r="C240" s="1" t="str">
        <f t="shared" si="13"/>
        <v>Apr</v>
      </c>
      <c r="D240" s="1" t="str">
        <f t="shared" si="14"/>
        <v>Q2</v>
      </c>
      <c r="E240" s="1" t="str">
        <f t="shared" si="15"/>
        <v>2024</v>
      </c>
      <c r="F240" t="s">
        <v>13</v>
      </c>
      <c r="G240" s="2">
        <v>990</v>
      </c>
      <c r="H240" s="2">
        <v>1004.9</v>
      </c>
      <c r="I240" s="2">
        <v>982.1</v>
      </c>
      <c r="J240" s="2">
        <v>998.8</v>
      </c>
      <c r="K240" s="2">
        <v>992.2</v>
      </c>
      <c r="L240" s="2">
        <v>992.8</v>
      </c>
      <c r="M240" s="2">
        <v>994.95</v>
      </c>
      <c r="N240" s="2">
        <v>1065.5999999999999</v>
      </c>
      <c r="O240" s="2">
        <v>465.8</v>
      </c>
      <c r="P240" s="2">
        <v>9574762</v>
      </c>
      <c r="Q240" s="2">
        <v>371266</v>
      </c>
    </row>
    <row r="241" spans="1:17" x14ac:dyDescent="0.25">
      <c r="A241" s="1">
        <v>45397</v>
      </c>
      <c r="B241" s="1" t="str">
        <f t="shared" si="12"/>
        <v>Monday</v>
      </c>
      <c r="C241" s="1" t="str">
        <f t="shared" si="13"/>
        <v>Apr</v>
      </c>
      <c r="D241" s="1" t="str">
        <f t="shared" si="14"/>
        <v>Q2</v>
      </c>
      <c r="E241" s="1" t="str">
        <f t="shared" si="15"/>
        <v>2024</v>
      </c>
      <c r="F241" t="s">
        <v>13</v>
      </c>
      <c r="G241" s="2">
        <v>998.1</v>
      </c>
      <c r="H241" s="2">
        <v>1006.95</v>
      </c>
      <c r="I241" s="2">
        <v>978.5</v>
      </c>
      <c r="J241" s="2">
        <v>1018.5</v>
      </c>
      <c r="K241" s="2">
        <v>997.95</v>
      </c>
      <c r="L241" s="2">
        <v>998.8</v>
      </c>
      <c r="M241" s="2">
        <v>996.59</v>
      </c>
      <c r="N241" s="2">
        <v>1065.5999999999999</v>
      </c>
      <c r="O241" s="2">
        <v>465.8</v>
      </c>
      <c r="P241" s="2">
        <v>12632409</v>
      </c>
      <c r="Q241" s="2">
        <v>315872</v>
      </c>
    </row>
    <row r="242" spans="1:17" x14ac:dyDescent="0.25">
      <c r="A242" s="1">
        <v>45394</v>
      </c>
      <c r="B242" s="1" t="str">
        <f t="shared" si="12"/>
        <v>Friday</v>
      </c>
      <c r="C242" s="1" t="str">
        <f t="shared" si="13"/>
        <v>Apr</v>
      </c>
      <c r="D242" s="1" t="str">
        <f t="shared" si="14"/>
        <v>Q2</v>
      </c>
      <c r="E242" s="1" t="str">
        <f t="shared" si="15"/>
        <v>2024</v>
      </c>
      <c r="F242" t="s">
        <v>13</v>
      </c>
      <c r="G242" s="2">
        <v>1014</v>
      </c>
      <c r="H242" s="2">
        <v>1029</v>
      </c>
      <c r="I242" s="2">
        <v>1013.5</v>
      </c>
      <c r="J242" s="2">
        <v>1013.5</v>
      </c>
      <c r="K242" s="2">
        <v>1020</v>
      </c>
      <c r="L242" s="2">
        <v>1018.5</v>
      </c>
      <c r="M242" s="2">
        <v>1022.78</v>
      </c>
      <c r="N242" s="2">
        <v>1065.5999999999999</v>
      </c>
      <c r="O242" s="2">
        <v>452</v>
      </c>
      <c r="P242" s="2">
        <v>11575194</v>
      </c>
      <c r="Q242" s="2">
        <v>269532</v>
      </c>
    </row>
    <row r="243" spans="1:17" x14ac:dyDescent="0.25">
      <c r="A243" s="1">
        <v>45392</v>
      </c>
      <c r="B243" s="1" t="str">
        <f t="shared" si="12"/>
        <v>Wednesday</v>
      </c>
      <c r="C243" s="1" t="str">
        <f t="shared" si="13"/>
        <v>Apr</v>
      </c>
      <c r="D243" s="1" t="str">
        <f t="shared" si="14"/>
        <v>Q2</v>
      </c>
      <c r="E243" s="1" t="str">
        <f t="shared" si="15"/>
        <v>2024</v>
      </c>
      <c r="F243" t="s">
        <v>13</v>
      </c>
      <c r="G243" s="2">
        <v>1012.25</v>
      </c>
      <c r="H243" s="2">
        <v>1021</v>
      </c>
      <c r="I243" s="2">
        <v>1010</v>
      </c>
      <c r="J243" s="2">
        <v>1008.5</v>
      </c>
      <c r="K243" s="2">
        <v>1014</v>
      </c>
      <c r="L243" s="2">
        <v>1013.5</v>
      </c>
      <c r="M243" s="2">
        <v>1013.34</v>
      </c>
      <c r="N243" s="2">
        <v>1065.5999999999999</v>
      </c>
      <c r="O243" s="2">
        <v>452</v>
      </c>
      <c r="P243" s="2">
        <v>4554077</v>
      </c>
      <c r="Q243" s="2">
        <v>147535</v>
      </c>
    </row>
    <row r="244" spans="1:17" x14ac:dyDescent="0.25">
      <c r="A244" s="1">
        <v>45391</v>
      </c>
      <c r="B244" s="1" t="str">
        <f t="shared" si="12"/>
        <v>Tuesday</v>
      </c>
      <c r="C244" s="1" t="str">
        <f t="shared" si="13"/>
        <v>Apr</v>
      </c>
      <c r="D244" s="1" t="str">
        <f t="shared" si="14"/>
        <v>Q2</v>
      </c>
      <c r="E244" s="1" t="str">
        <f t="shared" si="15"/>
        <v>2024</v>
      </c>
      <c r="F244" t="s">
        <v>13</v>
      </c>
      <c r="G244" s="2">
        <v>1021</v>
      </c>
      <c r="H244" s="2">
        <v>1029.5</v>
      </c>
      <c r="I244" s="2">
        <v>1005</v>
      </c>
      <c r="J244" s="2">
        <v>1013.2</v>
      </c>
      <c r="K244" s="2">
        <v>1008</v>
      </c>
      <c r="L244" s="2">
        <v>1008.5</v>
      </c>
      <c r="M244" s="2">
        <v>1016.63</v>
      </c>
      <c r="N244" s="2">
        <v>1065.5999999999999</v>
      </c>
      <c r="O244" s="2">
        <v>452</v>
      </c>
      <c r="P244" s="2">
        <v>8539041</v>
      </c>
      <c r="Q244" s="2">
        <v>165448</v>
      </c>
    </row>
    <row r="245" spans="1:17" x14ac:dyDescent="0.25">
      <c r="A245" s="1">
        <v>45390</v>
      </c>
      <c r="B245" s="1" t="str">
        <f t="shared" si="12"/>
        <v>Monday</v>
      </c>
      <c r="C245" s="1" t="str">
        <f t="shared" si="13"/>
        <v>Apr</v>
      </c>
      <c r="D245" s="1" t="str">
        <f t="shared" si="14"/>
        <v>Q2</v>
      </c>
      <c r="E245" s="1" t="str">
        <f t="shared" si="15"/>
        <v>2024</v>
      </c>
      <c r="F245" t="s">
        <v>13</v>
      </c>
      <c r="G245" s="2">
        <v>1010.05</v>
      </c>
      <c r="H245" s="2">
        <v>1016.4</v>
      </c>
      <c r="I245" s="2">
        <v>1004</v>
      </c>
      <c r="J245" s="2">
        <v>1007.1</v>
      </c>
      <c r="K245" s="2">
        <v>1012.7</v>
      </c>
      <c r="L245" s="2">
        <v>1013.2</v>
      </c>
      <c r="M245" s="2">
        <v>1011.67</v>
      </c>
      <c r="N245" s="2">
        <v>1065.5999999999999</v>
      </c>
      <c r="O245" s="2">
        <v>452</v>
      </c>
      <c r="P245" s="2">
        <v>5188052</v>
      </c>
      <c r="Q245" s="2">
        <v>135516</v>
      </c>
    </row>
    <row r="246" spans="1:17" x14ac:dyDescent="0.25">
      <c r="A246" s="1">
        <v>45387</v>
      </c>
      <c r="B246" s="1" t="str">
        <f t="shared" si="12"/>
        <v>Friday</v>
      </c>
      <c r="C246" s="1" t="str">
        <f t="shared" si="13"/>
        <v>Apr</v>
      </c>
      <c r="D246" s="1" t="str">
        <f t="shared" si="14"/>
        <v>Q2</v>
      </c>
      <c r="E246" s="1" t="str">
        <f t="shared" si="15"/>
        <v>2024</v>
      </c>
      <c r="F246" t="s">
        <v>13</v>
      </c>
      <c r="G246" s="2">
        <v>1011.6</v>
      </c>
      <c r="H246" s="2">
        <v>1012.5</v>
      </c>
      <c r="I246" s="2">
        <v>1004.4</v>
      </c>
      <c r="J246" s="2">
        <v>1011.6</v>
      </c>
      <c r="K246" s="2">
        <v>1007.85</v>
      </c>
      <c r="L246" s="2">
        <v>1007.1</v>
      </c>
      <c r="M246" s="2">
        <v>1007.7</v>
      </c>
      <c r="N246" s="2">
        <v>1065.5999999999999</v>
      </c>
      <c r="O246" s="2">
        <v>419.5</v>
      </c>
      <c r="P246" s="2">
        <v>4519120</v>
      </c>
      <c r="Q246" s="2">
        <v>125137</v>
      </c>
    </row>
    <row r="247" spans="1:17" x14ac:dyDescent="0.25">
      <c r="A247" s="1">
        <v>45386</v>
      </c>
      <c r="B247" s="1" t="str">
        <f t="shared" si="12"/>
        <v>Thursday</v>
      </c>
      <c r="C247" s="1" t="str">
        <f t="shared" si="13"/>
        <v>Apr</v>
      </c>
      <c r="D247" s="1" t="str">
        <f t="shared" si="14"/>
        <v>Q2</v>
      </c>
      <c r="E247" s="1" t="str">
        <f t="shared" si="15"/>
        <v>2024</v>
      </c>
      <c r="F247" t="s">
        <v>13</v>
      </c>
      <c r="G247" s="2">
        <v>1016</v>
      </c>
      <c r="H247" s="2">
        <v>1017</v>
      </c>
      <c r="I247" s="2">
        <v>998.15</v>
      </c>
      <c r="J247" s="2">
        <v>1009.15</v>
      </c>
      <c r="K247" s="2">
        <v>1013</v>
      </c>
      <c r="L247" s="2">
        <v>1011.6</v>
      </c>
      <c r="M247" s="2">
        <v>1009.18</v>
      </c>
      <c r="N247" s="2">
        <v>1065.5999999999999</v>
      </c>
      <c r="O247" s="2">
        <v>419.5</v>
      </c>
      <c r="P247" s="2">
        <v>9138276</v>
      </c>
      <c r="Q247" s="2">
        <v>222736</v>
      </c>
    </row>
    <row r="248" spans="1:17" x14ac:dyDescent="0.25">
      <c r="A248" s="1">
        <v>45385</v>
      </c>
      <c r="B248" s="1" t="str">
        <f t="shared" si="12"/>
        <v>Wednesday</v>
      </c>
      <c r="C248" s="1" t="str">
        <f t="shared" si="13"/>
        <v>Apr</v>
      </c>
      <c r="D248" s="1" t="str">
        <f t="shared" si="14"/>
        <v>Q2</v>
      </c>
      <c r="E248" s="1" t="str">
        <f t="shared" si="15"/>
        <v>2024</v>
      </c>
      <c r="F248" t="s">
        <v>13</v>
      </c>
      <c r="G248" s="2">
        <v>1004</v>
      </c>
      <c r="H248" s="2">
        <v>1014.45</v>
      </c>
      <c r="I248" s="2">
        <v>992.55</v>
      </c>
      <c r="J248" s="2">
        <v>1004.65</v>
      </c>
      <c r="K248" s="2">
        <v>1009.8</v>
      </c>
      <c r="L248" s="2">
        <v>1009.15</v>
      </c>
      <c r="M248" s="2">
        <v>1005.24</v>
      </c>
      <c r="N248" s="2">
        <v>1065.5999999999999</v>
      </c>
      <c r="O248" s="2">
        <v>419.5</v>
      </c>
      <c r="P248" s="2">
        <v>8040366</v>
      </c>
      <c r="Q248" s="2">
        <v>178668</v>
      </c>
    </row>
    <row r="249" spans="1:17" x14ac:dyDescent="0.25">
      <c r="A249" s="1">
        <v>45384</v>
      </c>
      <c r="B249" s="1" t="str">
        <f t="shared" si="12"/>
        <v>Tuesday</v>
      </c>
      <c r="C249" s="1" t="str">
        <f t="shared" si="13"/>
        <v>Apr</v>
      </c>
      <c r="D249" s="1" t="str">
        <f t="shared" si="14"/>
        <v>Q2</v>
      </c>
      <c r="E249" s="1" t="str">
        <f t="shared" si="15"/>
        <v>2024</v>
      </c>
      <c r="F249" t="s">
        <v>13</v>
      </c>
      <c r="G249" s="2">
        <v>999</v>
      </c>
      <c r="H249" s="2">
        <v>1008</v>
      </c>
      <c r="I249" s="2">
        <v>993.4</v>
      </c>
      <c r="J249" s="2">
        <v>992.25</v>
      </c>
      <c r="K249" s="2">
        <v>1006.4</v>
      </c>
      <c r="L249" s="2">
        <v>1004.65</v>
      </c>
      <c r="M249" s="2">
        <v>1001.88</v>
      </c>
      <c r="N249" s="2">
        <v>1065.5999999999999</v>
      </c>
      <c r="O249" s="2">
        <v>419.5</v>
      </c>
      <c r="P249" s="2">
        <v>7995931</v>
      </c>
      <c r="Q249" s="2">
        <v>140240</v>
      </c>
    </row>
    <row r="250" spans="1:17" x14ac:dyDescent="0.25">
      <c r="A250" s="1">
        <v>45383</v>
      </c>
      <c r="B250" s="1" t="str">
        <f t="shared" si="12"/>
        <v>Monday</v>
      </c>
      <c r="C250" s="1" t="str">
        <f t="shared" si="13"/>
        <v>Jan</v>
      </c>
      <c r="D250" s="1" t="str">
        <f t="shared" si="14"/>
        <v>Q2</v>
      </c>
      <c r="E250" s="1" t="str">
        <f t="shared" si="15"/>
        <v>2024</v>
      </c>
      <c r="F250" t="s">
        <v>13</v>
      </c>
      <c r="G250" s="2">
        <v>1000</v>
      </c>
      <c r="H250" s="2">
        <v>1009.85</v>
      </c>
      <c r="I250" s="2">
        <v>987.45</v>
      </c>
      <c r="J250" s="2">
        <v>992.8</v>
      </c>
      <c r="K250" s="2">
        <v>994</v>
      </c>
      <c r="L250" s="2">
        <v>992.25</v>
      </c>
      <c r="M250" s="2">
        <v>999.89</v>
      </c>
      <c r="N250" s="2">
        <v>1065.5999999999999</v>
      </c>
      <c r="O250" s="2">
        <v>419.5</v>
      </c>
      <c r="P250" s="2">
        <v>8629407</v>
      </c>
      <c r="Q250" s="2">
        <v>186115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A1278-E37A-4326-B2B7-7A702B44B578}">
  <dimension ref="A3:B252"/>
  <sheetViews>
    <sheetView zoomScale="102" zoomScaleNormal="100" workbookViewId="0">
      <selection activeCell="K7" sqref="K7"/>
    </sheetView>
  </sheetViews>
  <sheetFormatPr defaultRowHeight="15" x14ac:dyDescent="0.25"/>
  <cols>
    <col min="1" max="1" width="13.42578125" bestFit="1" customWidth="1"/>
    <col min="2" max="2" width="13.140625" bestFit="1" customWidth="1"/>
  </cols>
  <sheetData>
    <row r="3" spans="1:2" x14ac:dyDescent="0.25">
      <c r="A3" s="3" t="s">
        <v>18</v>
      </c>
      <c r="B3" t="s">
        <v>25</v>
      </c>
    </row>
    <row r="4" spans="1:2" x14ac:dyDescent="0.25">
      <c r="A4" s="5">
        <v>45383</v>
      </c>
      <c r="B4" s="2">
        <v>992.25</v>
      </c>
    </row>
    <row r="5" spans="1:2" x14ac:dyDescent="0.25">
      <c r="A5" s="5">
        <v>45384</v>
      </c>
      <c r="B5" s="2">
        <v>1004.65</v>
      </c>
    </row>
    <row r="6" spans="1:2" x14ac:dyDescent="0.25">
      <c r="A6" s="5">
        <v>45385</v>
      </c>
      <c r="B6" s="2">
        <v>1009.15</v>
      </c>
    </row>
    <row r="7" spans="1:2" x14ac:dyDescent="0.25">
      <c r="A7" s="5">
        <v>45386</v>
      </c>
      <c r="B7" s="2">
        <v>1011.6</v>
      </c>
    </row>
    <row r="8" spans="1:2" x14ac:dyDescent="0.25">
      <c r="A8" s="5">
        <v>45387</v>
      </c>
      <c r="B8" s="2">
        <v>1007.1</v>
      </c>
    </row>
    <row r="9" spans="1:2" x14ac:dyDescent="0.25">
      <c r="A9" s="5">
        <v>45390</v>
      </c>
      <c r="B9" s="2">
        <v>1013.2</v>
      </c>
    </row>
    <row r="10" spans="1:2" x14ac:dyDescent="0.25">
      <c r="A10" s="5">
        <v>45391</v>
      </c>
      <c r="B10" s="2">
        <v>1008.5</v>
      </c>
    </row>
    <row r="11" spans="1:2" x14ac:dyDescent="0.25">
      <c r="A11" s="5">
        <v>45392</v>
      </c>
      <c r="B11" s="2">
        <v>1013.5</v>
      </c>
    </row>
    <row r="12" spans="1:2" x14ac:dyDescent="0.25">
      <c r="A12" s="5">
        <v>45394</v>
      </c>
      <c r="B12" s="2">
        <v>1018.5</v>
      </c>
    </row>
    <row r="13" spans="1:2" x14ac:dyDescent="0.25">
      <c r="A13" s="5">
        <v>45397</v>
      </c>
      <c r="B13" s="2">
        <v>998.8</v>
      </c>
    </row>
    <row r="14" spans="1:2" x14ac:dyDescent="0.25">
      <c r="A14" s="5">
        <v>45398</v>
      </c>
      <c r="B14" s="2">
        <v>992.8</v>
      </c>
    </row>
    <row r="15" spans="1:2" x14ac:dyDescent="0.25">
      <c r="A15" s="5">
        <v>45400</v>
      </c>
      <c r="B15" s="2">
        <v>971.35</v>
      </c>
    </row>
    <row r="16" spans="1:2" x14ac:dyDescent="0.25">
      <c r="A16" s="5">
        <v>45401</v>
      </c>
      <c r="B16" s="2">
        <v>963.2</v>
      </c>
    </row>
    <row r="17" spans="1:2" x14ac:dyDescent="0.25">
      <c r="A17" s="5">
        <v>45404</v>
      </c>
      <c r="B17" s="2">
        <v>973.55</v>
      </c>
    </row>
    <row r="18" spans="1:2" x14ac:dyDescent="0.25">
      <c r="A18" s="5">
        <v>45405</v>
      </c>
      <c r="B18" s="2">
        <v>986.75</v>
      </c>
    </row>
    <row r="19" spans="1:2" x14ac:dyDescent="0.25">
      <c r="A19" s="5">
        <v>45406</v>
      </c>
      <c r="B19" s="2">
        <v>991.65</v>
      </c>
    </row>
    <row r="20" spans="1:2" x14ac:dyDescent="0.25">
      <c r="A20" s="5">
        <v>45407</v>
      </c>
      <c r="B20" s="2">
        <v>1001.25</v>
      </c>
    </row>
    <row r="21" spans="1:2" x14ac:dyDescent="0.25">
      <c r="A21" s="5">
        <v>45408</v>
      </c>
      <c r="B21" s="2">
        <v>999.5</v>
      </c>
    </row>
    <row r="22" spans="1:2" x14ac:dyDescent="0.25">
      <c r="A22" s="5">
        <v>45411</v>
      </c>
      <c r="B22" s="2">
        <v>1000.6</v>
      </c>
    </row>
    <row r="23" spans="1:2" x14ac:dyDescent="0.25">
      <c r="A23" s="5">
        <v>45412</v>
      </c>
      <c r="B23" s="2">
        <v>1007.9</v>
      </c>
    </row>
    <row r="24" spans="1:2" x14ac:dyDescent="0.25">
      <c r="A24" s="5">
        <v>45414</v>
      </c>
      <c r="B24" s="2">
        <v>1027.8</v>
      </c>
    </row>
    <row r="25" spans="1:2" x14ac:dyDescent="0.25">
      <c r="A25" s="5">
        <v>45415</v>
      </c>
      <c r="B25" s="2">
        <v>1013.4</v>
      </c>
    </row>
    <row r="26" spans="1:2" x14ac:dyDescent="0.25">
      <c r="A26" s="5">
        <v>45418</v>
      </c>
      <c r="B26" s="2">
        <v>1016.2</v>
      </c>
    </row>
    <row r="27" spans="1:2" x14ac:dyDescent="0.25">
      <c r="A27" s="5">
        <v>45419</v>
      </c>
      <c r="B27" s="2">
        <v>988.55</v>
      </c>
    </row>
    <row r="28" spans="1:2" x14ac:dyDescent="0.25">
      <c r="A28" s="5">
        <v>45420</v>
      </c>
      <c r="B28" s="2">
        <v>1012.1</v>
      </c>
    </row>
    <row r="29" spans="1:2" x14ac:dyDescent="0.25">
      <c r="A29" s="5">
        <v>45421</v>
      </c>
      <c r="B29" s="2">
        <v>1030.3</v>
      </c>
    </row>
    <row r="30" spans="1:2" x14ac:dyDescent="0.25">
      <c r="A30" s="5">
        <v>45422</v>
      </c>
      <c r="B30" s="2">
        <v>1046.6500000000001</v>
      </c>
    </row>
    <row r="31" spans="1:2" x14ac:dyDescent="0.25">
      <c r="A31" s="5">
        <v>45425</v>
      </c>
      <c r="B31" s="2">
        <v>959.75</v>
      </c>
    </row>
    <row r="32" spans="1:2" x14ac:dyDescent="0.25">
      <c r="A32" s="5">
        <v>45426</v>
      </c>
      <c r="B32" s="2">
        <v>964.65</v>
      </c>
    </row>
    <row r="33" spans="1:2" x14ac:dyDescent="0.25">
      <c r="A33" s="5">
        <v>45427</v>
      </c>
      <c r="B33" s="2">
        <v>947.3</v>
      </c>
    </row>
    <row r="34" spans="1:2" x14ac:dyDescent="0.25">
      <c r="A34" s="5">
        <v>45428</v>
      </c>
      <c r="B34" s="2">
        <v>936.4</v>
      </c>
    </row>
    <row r="35" spans="1:2" x14ac:dyDescent="0.25">
      <c r="A35" s="5">
        <v>45429</v>
      </c>
      <c r="B35" s="2">
        <v>945.7</v>
      </c>
    </row>
    <row r="36" spans="1:2" x14ac:dyDescent="0.25">
      <c r="A36" s="5">
        <v>45430</v>
      </c>
      <c r="B36" s="2">
        <v>953.95</v>
      </c>
    </row>
    <row r="37" spans="1:2" x14ac:dyDescent="0.25">
      <c r="A37" s="5">
        <v>45433</v>
      </c>
      <c r="B37" s="2">
        <v>951.3</v>
      </c>
    </row>
    <row r="38" spans="1:2" x14ac:dyDescent="0.25">
      <c r="A38" s="5">
        <v>45434</v>
      </c>
      <c r="B38" s="2">
        <v>947.5</v>
      </c>
    </row>
    <row r="39" spans="1:2" x14ac:dyDescent="0.25">
      <c r="A39" s="5">
        <v>45435</v>
      </c>
      <c r="B39" s="2">
        <v>962.35</v>
      </c>
    </row>
    <row r="40" spans="1:2" x14ac:dyDescent="0.25">
      <c r="A40" s="5">
        <v>45436</v>
      </c>
      <c r="B40" s="2">
        <v>960.55</v>
      </c>
    </row>
    <row r="41" spans="1:2" x14ac:dyDescent="0.25">
      <c r="A41" s="5">
        <v>45439</v>
      </c>
      <c r="B41" s="2">
        <v>958.5</v>
      </c>
    </row>
    <row r="42" spans="1:2" x14ac:dyDescent="0.25">
      <c r="A42" s="5">
        <v>45440</v>
      </c>
      <c r="B42" s="2">
        <v>947.55</v>
      </c>
    </row>
    <row r="43" spans="1:2" x14ac:dyDescent="0.25">
      <c r="A43" s="5">
        <v>45441</v>
      </c>
      <c r="B43" s="2">
        <v>943.6</v>
      </c>
    </row>
    <row r="44" spans="1:2" x14ac:dyDescent="0.25">
      <c r="A44" s="5">
        <v>45442</v>
      </c>
      <c r="B44" s="2">
        <v>923.95</v>
      </c>
    </row>
    <row r="45" spans="1:2" x14ac:dyDescent="0.25">
      <c r="A45" s="5">
        <v>45443</v>
      </c>
      <c r="B45" s="2">
        <v>923</v>
      </c>
    </row>
    <row r="46" spans="1:2" x14ac:dyDescent="0.25">
      <c r="A46" s="5">
        <v>45446</v>
      </c>
      <c r="B46" s="2">
        <v>950.45</v>
      </c>
    </row>
    <row r="47" spans="1:2" x14ac:dyDescent="0.25">
      <c r="A47" s="5">
        <v>45447</v>
      </c>
      <c r="B47" s="2">
        <v>903.9</v>
      </c>
    </row>
    <row r="48" spans="1:2" x14ac:dyDescent="0.25">
      <c r="A48" s="5">
        <v>45448</v>
      </c>
      <c r="B48" s="2">
        <v>929.95</v>
      </c>
    </row>
    <row r="49" spans="1:2" x14ac:dyDescent="0.25">
      <c r="A49" s="5">
        <v>45449</v>
      </c>
      <c r="B49" s="2">
        <v>938.25</v>
      </c>
    </row>
    <row r="50" spans="1:2" x14ac:dyDescent="0.25">
      <c r="A50" s="5">
        <v>45450</v>
      </c>
      <c r="B50" s="2">
        <v>970.5</v>
      </c>
    </row>
    <row r="51" spans="1:2" x14ac:dyDescent="0.25">
      <c r="A51" s="5">
        <v>45453</v>
      </c>
      <c r="B51" s="2">
        <v>975.15</v>
      </c>
    </row>
    <row r="52" spans="1:2" x14ac:dyDescent="0.25">
      <c r="A52" s="5">
        <v>45454</v>
      </c>
      <c r="B52" s="2">
        <v>987.1</v>
      </c>
    </row>
    <row r="53" spans="1:2" x14ac:dyDescent="0.25">
      <c r="A53" s="5">
        <v>45455</v>
      </c>
      <c r="B53" s="2">
        <v>988.7</v>
      </c>
    </row>
    <row r="54" spans="1:2" x14ac:dyDescent="0.25">
      <c r="A54" s="5">
        <v>45456</v>
      </c>
      <c r="B54" s="2">
        <v>985.85</v>
      </c>
    </row>
    <row r="55" spans="1:2" x14ac:dyDescent="0.25">
      <c r="A55" s="5">
        <v>45457</v>
      </c>
      <c r="B55" s="2">
        <v>993.4</v>
      </c>
    </row>
    <row r="56" spans="1:2" x14ac:dyDescent="0.25">
      <c r="A56" s="5">
        <v>45461</v>
      </c>
      <c r="B56" s="2">
        <v>985.9</v>
      </c>
    </row>
    <row r="57" spans="1:2" x14ac:dyDescent="0.25">
      <c r="A57" s="5">
        <v>45462</v>
      </c>
      <c r="B57" s="2">
        <v>977.35</v>
      </c>
    </row>
    <row r="58" spans="1:2" x14ac:dyDescent="0.25">
      <c r="A58" s="5">
        <v>45463</v>
      </c>
      <c r="B58" s="2">
        <v>978.25</v>
      </c>
    </row>
    <row r="59" spans="1:2" x14ac:dyDescent="0.25">
      <c r="A59" s="5">
        <v>45464</v>
      </c>
      <c r="B59" s="2">
        <v>961.8</v>
      </c>
    </row>
    <row r="60" spans="1:2" x14ac:dyDescent="0.25">
      <c r="A60" s="5">
        <v>45467</v>
      </c>
      <c r="B60" s="2">
        <v>958.05</v>
      </c>
    </row>
    <row r="61" spans="1:2" x14ac:dyDescent="0.25">
      <c r="A61" s="5">
        <v>45468</v>
      </c>
      <c r="B61" s="2">
        <v>955</v>
      </c>
    </row>
    <row r="62" spans="1:2" x14ac:dyDescent="0.25">
      <c r="A62" s="5">
        <v>45469</v>
      </c>
      <c r="B62" s="2">
        <v>951.85</v>
      </c>
    </row>
    <row r="63" spans="1:2" x14ac:dyDescent="0.25">
      <c r="A63" s="5">
        <v>45470</v>
      </c>
      <c r="B63" s="2">
        <v>972.1</v>
      </c>
    </row>
    <row r="64" spans="1:2" x14ac:dyDescent="0.25">
      <c r="A64" s="5">
        <v>45471</v>
      </c>
      <c r="B64" s="2">
        <v>989.75</v>
      </c>
    </row>
    <row r="65" spans="1:2" x14ac:dyDescent="0.25">
      <c r="A65" s="5">
        <v>45474</v>
      </c>
      <c r="B65" s="2">
        <v>1002.05</v>
      </c>
    </row>
    <row r="66" spans="1:2" x14ac:dyDescent="0.25">
      <c r="A66" s="5">
        <v>45475</v>
      </c>
      <c r="B66" s="2">
        <v>981.3</v>
      </c>
    </row>
    <row r="67" spans="1:2" x14ac:dyDescent="0.25">
      <c r="A67" s="5">
        <v>45476</v>
      </c>
      <c r="B67" s="2">
        <v>975.65</v>
      </c>
    </row>
    <row r="68" spans="1:2" x14ac:dyDescent="0.25">
      <c r="A68" s="5">
        <v>45477</v>
      </c>
      <c r="B68" s="2">
        <v>998.2</v>
      </c>
    </row>
    <row r="69" spans="1:2" x14ac:dyDescent="0.25">
      <c r="A69" s="5">
        <v>45478</v>
      </c>
      <c r="B69" s="2">
        <v>993.65</v>
      </c>
    </row>
    <row r="70" spans="1:2" x14ac:dyDescent="0.25">
      <c r="A70" s="5">
        <v>45481</v>
      </c>
      <c r="B70" s="2">
        <v>1002.6</v>
      </c>
    </row>
    <row r="71" spans="1:2" x14ac:dyDescent="0.25">
      <c r="A71" s="5">
        <v>45482</v>
      </c>
      <c r="B71" s="2">
        <v>1014.95</v>
      </c>
    </row>
    <row r="72" spans="1:2" x14ac:dyDescent="0.25">
      <c r="A72" s="5">
        <v>45483</v>
      </c>
      <c r="B72" s="2">
        <v>1005.5</v>
      </c>
    </row>
    <row r="73" spans="1:2" x14ac:dyDescent="0.25">
      <c r="A73" s="5">
        <v>45484</v>
      </c>
      <c r="B73" s="2">
        <v>1020.8</v>
      </c>
    </row>
    <row r="74" spans="1:2" x14ac:dyDescent="0.25">
      <c r="A74" s="5">
        <v>45485</v>
      </c>
      <c r="B74" s="2">
        <v>1016.75</v>
      </c>
    </row>
    <row r="75" spans="1:2" x14ac:dyDescent="0.25">
      <c r="A75" s="5">
        <v>45488</v>
      </c>
      <c r="B75" s="2">
        <v>1024.45</v>
      </c>
    </row>
    <row r="76" spans="1:2" x14ac:dyDescent="0.25">
      <c r="A76" s="5">
        <v>45489</v>
      </c>
      <c r="B76" s="2">
        <v>1021.15</v>
      </c>
    </row>
    <row r="77" spans="1:2" x14ac:dyDescent="0.25">
      <c r="A77" s="5">
        <v>45491</v>
      </c>
      <c r="B77" s="2">
        <v>1024.55</v>
      </c>
    </row>
    <row r="78" spans="1:2" x14ac:dyDescent="0.25">
      <c r="A78" s="5">
        <v>45492</v>
      </c>
      <c r="B78" s="2">
        <v>990</v>
      </c>
    </row>
    <row r="79" spans="1:2" x14ac:dyDescent="0.25">
      <c r="A79" s="5">
        <v>45495</v>
      </c>
      <c r="B79" s="2">
        <v>1003.15</v>
      </c>
    </row>
    <row r="80" spans="1:2" x14ac:dyDescent="0.25">
      <c r="A80" s="5">
        <v>45496</v>
      </c>
      <c r="B80" s="2">
        <v>1001.8</v>
      </c>
    </row>
    <row r="81" spans="1:2" x14ac:dyDescent="0.25">
      <c r="A81" s="5">
        <v>45497</v>
      </c>
      <c r="B81" s="2">
        <v>1027.7</v>
      </c>
    </row>
    <row r="82" spans="1:2" x14ac:dyDescent="0.25">
      <c r="A82" s="5">
        <v>45498</v>
      </c>
      <c r="B82" s="2">
        <v>1090.95</v>
      </c>
    </row>
    <row r="83" spans="1:2" x14ac:dyDescent="0.25">
      <c r="A83" s="5">
        <v>45499</v>
      </c>
      <c r="B83" s="2">
        <v>1118.3</v>
      </c>
    </row>
    <row r="84" spans="1:2" x14ac:dyDescent="0.25">
      <c r="A84" s="5">
        <v>45502</v>
      </c>
      <c r="B84" s="2">
        <v>1124</v>
      </c>
    </row>
    <row r="85" spans="1:2" x14ac:dyDescent="0.25">
      <c r="A85" s="5">
        <v>45503</v>
      </c>
      <c r="B85" s="2">
        <v>1161.8499999999999</v>
      </c>
    </row>
    <row r="86" spans="1:2" x14ac:dyDescent="0.25">
      <c r="A86" s="5">
        <v>45504</v>
      </c>
      <c r="B86" s="2">
        <v>1156.6500000000001</v>
      </c>
    </row>
    <row r="87" spans="1:2" x14ac:dyDescent="0.25">
      <c r="A87" s="5">
        <v>45505</v>
      </c>
      <c r="B87" s="2">
        <v>1144.4000000000001</v>
      </c>
    </row>
    <row r="88" spans="1:2" x14ac:dyDescent="0.25">
      <c r="A88" s="5">
        <v>45506</v>
      </c>
      <c r="B88" s="2">
        <v>1096.6500000000001</v>
      </c>
    </row>
    <row r="89" spans="1:2" x14ac:dyDescent="0.25">
      <c r="A89" s="5">
        <v>45509</v>
      </c>
      <c r="B89" s="2">
        <v>1016.45</v>
      </c>
    </row>
    <row r="90" spans="1:2" x14ac:dyDescent="0.25">
      <c r="A90" s="5">
        <v>45510</v>
      </c>
      <c r="B90" s="2">
        <v>1013.75</v>
      </c>
    </row>
    <row r="91" spans="1:2" x14ac:dyDescent="0.25">
      <c r="A91" s="5">
        <v>45511</v>
      </c>
      <c r="B91" s="2">
        <v>1025.3</v>
      </c>
    </row>
    <row r="92" spans="1:2" x14ac:dyDescent="0.25">
      <c r="A92" s="5">
        <v>45512</v>
      </c>
      <c r="B92" s="2">
        <v>1041.75</v>
      </c>
    </row>
    <row r="93" spans="1:2" x14ac:dyDescent="0.25">
      <c r="A93" s="5">
        <v>45513</v>
      </c>
      <c r="B93" s="2">
        <v>1068.0999999999999</v>
      </c>
    </row>
    <row r="94" spans="1:2" x14ac:dyDescent="0.25">
      <c r="A94" s="5">
        <v>45516</v>
      </c>
      <c r="B94" s="2">
        <v>1076.1500000000001</v>
      </c>
    </row>
    <row r="95" spans="1:2" x14ac:dyDescent="0.25">
      <c r="A95" s="5">
        <v>45517</v>
      </c>
      <c r="B95" s="2">
        <v>1053.45</v>
      </c>
    </row>
    <row r="96" spans="1:2" x14ac:dyDescent="0.25">
      <c r="A96" s="5">
        <v>45518</v>
      </c>
      <c r="B96" s="2">
        <v>1062.3499999999999</v>
      </c>
    </row>
    <row r="97" spans="1:2" x14ac:dyDescent="0.25">
      <c r="A97" s="5">
        <v>45520</v>
      </c>
      <c r="B97" s="2">
        <v>1098.3499999999999</v>
      </c>
    </row>
    <row r="98" spans="1:2" x14ac:dyDescent="0.25">
      <c r="A98" s="5">
        <v>45523</v>
      </c>
      <c r="B98" s="2">
        <v>1087.7</v>
      </c>
    </row>
    <row r="99" spans="1:2" x14ac:dyDescent="0.25">
      <c r="A99" s="5">
        <v>45524</v>
      </c>
      <c r="B99" s="2">
        <v>1086.9000000000001</v>
      </c>
    </row>
    <row r="100" spans="1:2" x14ac:dyDescent="0.25">
      <c r="A100" s="5">
        <v>45525</v>
      </c>
      <c r="B100" s="2">
        <v>1085.2</v>
      </c>
    </row>
    <row r="101" spans="1:2" x14ac:dyDescent="0.25">
      <c r="A101" s="5">
        <v>45526</v>
      </c>
      <c r="B101" s="2">
        <v>1068.45</v>
      </c>
    </row>
    <row r="102" spans="1:2" x14ac:dyDescent="0.25">
      <c r="A102" s="5">
        <v>45527</v>
      </c>
      <c r="B102" s="2">
        <v>1085.1500000000001</v>
      </c>
    </row>
    <row r="103" spans="1:2" x14ac:dyDescent="0.25">
      <c r="A103" s="5">
        <v>45530</v>
      </c>
      <c r="B103" s="2">
        <v>1092.4000000000001</v>
      </c>
    </row>
    <row r="104" spans="1:2" x14ac:dyDescent="0.25">
      <c r="A104" s="5">
        <v>45531</v>
      </c>
      <c r="B104" s="2">
        <v>1077.25</v>
      </c>
    </row>
    <row r="105" spans="1:2" x14ac:dyDescent="0.25">
      <c r="A105" s="5">
        <v>45532</v>
      </c>
      <c r="B105" s="2">
        <v>1074.55</v>
      </c>
    </row>
    <row r="106" spans="1:2" x14ac:dyDescent="0.25">
      <c r="A106" s="5">
        <v>45533</v>
      </c>
      <c r="B106" s="2">
        <v>1121.6500000000001</v>
      </c>
    </row>
    <row r="107" spans="1:2" x14ac:dyDescent="0.25">
      <c r="A107" s="5">
        <v>45534</v>
      </c>
      <c r="B107" s="2">
        <v>1111.3499999999999</v>
      </c>
    </row>
    <row r="108" spans="1:2" x14ac:dyDescent="0.25">
      <c r="A108" s="5">
        <v>45537</v>
      </c>
      <c r="B108" s="2">
        <v>1092.6500000000001</v>
      </c>
    </row>
    <row r="109" spans="1:2" x14ac:dyDescent="0.25">
      <c r="A109" s="5">
        <v>45538</v>
      </c>
      <c r="B109" s="2">
        <v>1085.0999999999999</v>
      </c>
    </row>
    <row r="110" spans="1:2" x14ac:dyDescent="0.25">
      <c r="A110" s="5">
        <v>45539</v>
      </c>
      <c r="B110" s="2">
        <v>1080.45</v>
      </c>
    </row>
    <row r="111" spans="1:2" x14ac:dyDescent="0.25">
      <c r="A111" s="5">
        <v>45540</v>
      </c>
      <c r="B111" s="2">
        <v>1069.1500000000001</v>
      </c>
    </row>
    <row r="112" spans="1:2" x14ac:dyDescent="0.25">
      <c r="A112" s="5">
        <v>45541</v>
      </c>
      <c r="B112" s="2">
        <v>1049.3499999999999</v>
      </c>
    </row>
    <row r="113" spans="1:2" x14ac:dyDescent="0.25">
      <c r="A113" s="5">
        <v>45544</v>
      </c>
      <c r="B113" s="2">
        <v>1038.7</v>
      </c>
    </row>
    <row r="114" spans="1:2" x14ac:dyDescent="0.25">
      <c r="A114" s="5">
        <v>45545</v>
      </c>
      <c r="B114" s="2">
        <v>1035.8</v>
      </c>
    </row>
    <row r="115" spans="1:2" x14ac:dyDescent="0.25">
      <c r="A115" s="5">
        <v>45546</v>
      </c>
      <c r="B115" s="2">
        <v>976.3</v>
      </c>
    </row>
    <row r="116" spans="1:2" x14ac:dyDescent="0.25">
      <c r="A116" s="5">
        <v>45547</v>
      </c>
      <c r="B116" s="2">
        <v>986.15</v>
      </c>
    </row>
    <row r="117" spans="1:2" x14ac:dyDescent="0.25">
      <c r="A117" s="5">
        <v>45548</v>
      </c>
      <c r="B117" s="2">
        <v>992.1</v>
      </c>
    </row>
    <row r="118" spans="1:2" x14ac:dyDescent="0.25">
      <c r="A118" s="5">
        <v>45551</v>
      </c>
      <c r="B118" s="2">
        <v>988.4</v>
      </c>
    </row>
    <row r="119" spans="1:2" x14ac:dyDescent="0.25">
      <c r="A119" s="5">
        <v>45552</v>
      </c>
      <c r="B119" s="2">
        <v>974.95</v>
      </c>
    </row>
    <row r="120" spans="1:2" x14ac:dyDescent="0.25">
      <c r="A120" s="5">
        <v>45553</v>
      </c>
      <c r="B120" s="2">
        <v>962.05</v>
      </c>
    </row>
    <row r="121" spans="1:2" x14ac:dyDescent="0.25">
      <c r="A121" s="5">
        <v>45554</v>
      </c>
      <c r="B121" s="2">
        <v>967</v>
      </c>
    </row>
    <row r="122" spans="1:2" x14ac:dyDescent="0.25">
      <c r="A122" s="5">
        <v>45555</v>
      </c>
      <c r="B122" s="2">
        <v>970.85</v>
      </c>
    </row>
    <row r="123" spans="1:2" x14ac:dyDescent="0.25">
      <c r="A123" s="5">
        <v>45558</v>
      </c>
      <c r="B123" s="2">
        <v>971.8</v>
      </c>
    </row>
    <row r="124" spans="1:2" x14ac:dyDescent="0.25">
      <c r="A124" s="5">
        <v>45559</v>
      </c>
      <c r="B124" s="2">
        <v>977.3</v>
      </c>
    </row>
    <row r="125" spans="1:2" x14ac:dyDescent="0.25">
      <c r="A125" s="5">
        <v>45560</v>
      </c>
      <c r="B125" s="2">
        <v>963.6</v>
      </c>
    </row>
    <row r="126" spans="1:2" x14ac:dyDescent="0.25">
      <c r="A126" s="5">
        <v>45561</v>
      </c>
      <c r="B126" s="2">
        <v>993.15</v>
      </c>
    </row>
    <row r="127" spans="1:2" x14ac:dyDescent="0.25">
      <c r="A127" s="5">
        <v>45562</v>
      </c>
      <c r="B127" s="2">
        <v>993</v>
      </c>
    </row>
    <row r="128" spans="1:2" x14ac:dyDescent="0.25">
      <c r="A128" s="5">
        <v>45565</v>
      </c>
      <c r="B128" s="2">
        <v>974.65</v>
      </c>
    </row>
    <row r="129" spans="1:2" x14ac:dyDescent="0.25">
      <c r="A129" s="5">
        <v>45566</v>
      </c>
      <c r="B129" s="2">
        <v>965.2</v>
      </c>
    </row>
    <row r="130" spans="1:2" x14ac:dyDescent="0.25">
      <c r="A130" s="5">
        <v>45568</v>
      </c>
      <c r="B130" s="2">
        <v>925.7</v>
      </c>
    </row>
    <row r="131" spans="1:2" x14ac:dyDescent="0.25">
      <c r="A131" s="5">
        <v>45569</v>
      </c>
      <c r="B131" s="2">
        <v>930.75</v>
      </c>
    </row>
    <row r="132" spans="1:2" x14ac:dyDescent="0.25">
      <c r="A132" s="5">
        <v>45572</v>
      </c>
      <c r="B132" s="2">
        <v>927.85</v>
      </c>
    </row>
    <row r="133" spans="1:2" x14ac:dyDescent="0.25">
      <c r="A133" s="5">
        <v>45573</v>
      </c>
      <c r="B133" s="2">
        <v>919.8</v>
      </c>
    </row>
    <row r="134" spans="1:2" x14ac:dyDescent="0.25">
      <c r="A134" s="5">
        <v>45574</v>
      </c>
      <c r="B134" s="2">
        <v>939.15</v>
      </c>
    </row>
    <row r="135" spans="1:2" x14ac:dyDescent="0.25">
      <c r="A135" s="5">
        <v>45575</v>
      </c>
      <c r="B135" s="2">
        <v>928.5</v>
      </c>
    </row>
    <row r="136" spans="1:2" x14ac:dyDescent="0.25">
      <c r="A136" s="5">
        <v>45576</v>
      </c>
      <c r="B136" s="2">
        <v>930.7</v>
      </c>
    </row>
    <row r="137" spans="1:2" x14ac:dyDescent="0.25">
      <c r="A137" s="5">
        <v>45579</v>
      </c>
      <c r="B137" s="2">
        <v>928.25</v>
      </c>
    </row>
    <row r="138" spans="1:2" x14ac:dyDescent="0.25">
      <c r="A138" s="5">
        <v>45580</v>
      </c>
      <c r="B138" s="2">
        <v>917.3</v>
      </c>
    </row>
    <row r="139" spans="1:2" x14ac:dyDescent="0.25">
      <c r="A139" s="5">
        <v>45581</v>
      </c>
      <c r="B139" s="2">
        <v>907.45</v>
      </c>
    </row>
    <row r="140" spans="1:2" x14ac:dyDescent="0.25">
      <c r="A140" s="5">
        <v>45582</v>
      </c>
      <c r="B140" s="2">
        <v>891.6</v>
      </c>
    </row>
    <row r="141" spans="1:2" x14ac:dyDescent="0.25">
      <c r="A141" s="5">
        <v>45583</v>
      </c>
      <c r="B141" s="2">
        <v>910.15</v>
      </c>
    </row>
    <row r="142" spans="1:2" x14ac:dyDescent="0.25">
      <c r="A142" s="5">
        <v>45586</v>
      </c>
      <c r="B142" s="2">
        <v>903.3</v>
      </c>
    </row>
    <row r="143" spans="1:2" x14ac:dyDescent="0.25">
      <c r="A143" s="5">
        <v>45587</v>
      </c>
      <c r="B143" s="2">
        <v>879.5</v>
      </c>
    </row>
    <row r="144" spans="1:2" x14ac:dyDescent="0.25">
      <c r="A144" s="5">
        <v>45588</v>
      </c>
      <c r="B144" s="2">
        <v>877.65</v>
      </c>
    </row>
    <row r="145" spans="1:2" x14ac:dyDescent="0.25">
      <c r="A145" s="5">
        <v>45589</v>
      </c>
      <c r="B145" s="2">
        <v>880</v>
      </c>
    </row>
    <row r="146" spans="1:2" x14ac:dyDescent="0.25">
      <c r="A146" s="5">
        <v>45590</v>
      </c>
      <c r="B146" s="2">
        <v>864.3</v>
      </c>
    </row>
    <row r="147" spans="1:2" x14ac:dyDescent="0.25">
      <c r="A147" s="5">
        <v>45593</v>
      </c>
      <c r="B147" s="2">
        <v>878.45</v>
      </c>
    </row>
    <row r="148" spans="1:2" x14ac:dyDescent="0.25">
      <c r="A148" s="5">
        <v>45594</v>
      </c>
      <c r="B148" s="2">
        <v>842.75</v>
      </c>
    </row>
    <row r="149" spans="1:2" x14ac:dyDescent="0.25">
      <c r="A149" s="5">
        <v>45595</v>
      </c>
      <c r="B149" s="2">
        <v>840.2</v>
      </c>
    </row>
    <row r="150" spans="1:2" x14ac:dyDescent="0.25">
      <c r="A150" s="5">
        <v>45596</v>
      </c>
      <c r="B150" s="2">
        <v>834.05</v>
      </c>
    </row>
    <row r="151" spans="1:2" x14ac:dyDescent="0.25">
      <c r="A151" s="5">
        <v>45597</v>
      </c>
      <c r="B151" s="2">
        <v>843.45</v>
      </c>
    </row>
    <row r="152" spans="1:2" x14ac:dyDescent="0.25">
      <c r="A152" s="5">
        <v>45600</v>
      </c>
      <c r="B152" s="2">
        <v>824.1</v>
      </c>
    </row>
    <row r="153" spans="1:2" x14ac:dyDescent="0.25">
      <c r="A153" s="5">
        <v>45601</v>
      </c>
      <c r="B153" s="2">
        <v>835.65</v>
      </c>
    </row>
    <row r="154" spans="1:2" x14ac:dyDescent="0.25">
      <c r="A154" s="5">
        <v>45602</v>
      </c>
      <c r="B154" s="2">
        <v>839.7</v>
      </c>
    </row>
    <row r="155" spans="1:2" x14ac:dyDescent="0.25">
      <c r="A155" s="5">
        <v>45603</v>
      </c>
      <c r="B155" s="2">
        <v>819.75</v>
      </c>
    </row>
    <row r="156" spans="1:2" x14ac:dyDescent="0.25">
      <c r="A156" s="5">
        <v>45604</v>
      </c>
      <c r="B156" s="2">
        <v>805.45</v>
      </c>
    </row>
    <row r="157" spans="1:2" x14ac:dyDescent="0.25">
      <c r="A157" s="5">
        <v>45607</v>
      </c>
      <c r="B157" s="2">
        <v>804.7</v>
      </c>
    </row>
    <row r="158" spans="1:2" x14ac:dyDescent="0.25">
      <c r="A158" s="5">
        <v>45608</v>
      </c>
      <c r="B158" s="2">
        <v>784.85</v>
      </c>
    </row>
    <row r="159" spans="1:2" x14ac:dyDescent="0.25">
      <c r="A159" s="5">
        <v>45609</v>
      </c>
      <c r="B159" s="2">
        <v>786.25</v>
      </c>
    </row>
    <row r="160" spans="1:2" x14ac:dyDescent="0.25">
      <c r="A160" s="5">
        <v>45610</v>
      </c>
      <c r="B160" s="2">
        <v>774.3</v>
      </c>
    </row>
    <row r="161" spans="1:2" x14ac:dyDescent="0.25">
      <c r="A161" s="5">
        <v>45614</v>
      </c>
      <c r="B161" s="2">
        <v>771.9</v>
      </c>
    </row>
    <row r="162" spans="1:2" x14ac:dyDescent="0.25">
      <c r="A162" s="5">
        <v>45615</v>
      </c>
      <c r="B162" s="2">
        <v>783.2</v>
      </c>
    </row>
    <row r="163" spans="1:2" x14ac:dyDescent="0.25">
      <c r="A163" s="5">
        <v>45617</v>
      </c>
      <c r="B163" s="2">
        <v>773.85</v>
      </c>
    </row>
    <row r="164" spans="1:2" x14ac:dyDescent="0.25">
      <c r="A164" s="5">
        <v>45618</v>
      </c>
      <c r="B164" s="2">
        <v>791</v>
      </c>
    </row>
    <row r="165" spans="1:2" x14ac:dyDescent="0.25">
      <c r="A165" s="5">
        <v>45621</v>
      </c>
      <c r="B165" s="2">
        <v>796.6</v>
      </c>
    </row>
    <row r="166" spans="1:2" x14ac:dyDescent="0.25">
      <c r="A166" s="5">
        <v>45622</v>
      </c>
      <c r="B166" s="2">
        <v>783</v>
      </c>
    </row>
    <row r="167" spans="1:2" x14ac:dyDescent="0.25">
      <c r="A167" s="5">
        <v>45623</v>
      </c>
      <c r="B167" s="2">
        <v>783.95</v>
      </c>
    </row>
    <row r="168" spans="1:2" x14ac:dyDescent="0.25">
      <c r="A168" s="5">
        <v>45624</v>
      </c>
      <c r="B168" s="2">
        <v>779.45</v>
      </c>
    </row>
    <row r="169" spans="1:2" x14ac:dyDescent="0.25">
      <c r="A169" s="5">
        <v>45625</v>
      </c>
      <c r="B169" s="2">
        <v>786.45</v>
      </c>
    </row>
    <row r="170" spans="1:2" x14ac:dyDescent="0.25">
      <c r="A170" s="5">
        <v>45628</v>
      </c>
      <c r="B170" s="2">
        <v>790.05</v>
      </c>
    </row>
    <row r="171" spans="1:2" x14ac:dyDescent="0.25">
      <c r="A171" s="5">
        <v>45629</v>
      </c>
      <c r="B171" s="2">
        <v>801.25</v>
      </c>
    </row>
    <row r="172" spans="1:2" x14ac:dyDescent="0.25">
      <c r="A172" s="5">
        <v>45630</v>
      </c>
      <c r="B172" s="2">
        <v>788.1</v>
      </c>
    </row>
    <row r="173" spans="1:2" x14ac:dyDescent="0.25">
      <c r="A173" s="5">
        <v>45631</v>
      </c>
      <c r="B173" s="2">
        <v>792.55</v>
      </c>
    </row>
    <row r="174" spans="1:2" x14ac:dyDescent="0.25">
      <c r="A174" s="5">
        <v>45632</v>
      </c>
      <c r="B174" s="2">
        <v>816.8</v>
      </c>
    </row>
    <row r="175" spans="1:2" x14ac:dyDescent="0.25">
      <c r="A175" s="5">
        <v>45635</v>
      </c>
      <c r="B175" s="2">
        <v>798.75</v>
      </c>
    </row>
    <row r="176" spans="1:2" x14ac:dyDescent="0.25">
      <c r="A176" s="5">
        <v>45636</v>
      </c>
      <c r="B176" s="2">
        <v>799.9</v>
      </c>
    </row>
    <row r="177" spans="1:2" x14ac:dyDescent="0.25">
      <c r="A177" s="5">
        <v>45637</v>
      </c>
      <c r="B177" s="2">
        <v>799.1</v>
      </c>
    </row>
    <row r="178" spans="1:2" x14ac:dyDescent="0.25">
      <c r="A178" s="5">
        <v>45638</v>
      </c>
      <c r="B178" s="2">
        <v>786.35</v>
      </c>
    </row>
    <row r="179" spans="1:2" x14ac:dyDescent="0.25">
      <c r="A179" s="5">
        <v>45639</v>
      </c>
      <c r="B179" s="2">
        <v>790.3</v>
      </c>
    </row>
    <row r="180" spans="1:2" x14ac:dyDescent="0.25">
      <c r="A180" s="5">
        <v>45642</v>
      </c>
      <c r="B180" s="2">
        <v>784.8</v>
      </c>
    </row>
    <row r="181" spans="1:2" x14ac:dyDescent="0.25">
      <c r="A181" s="5">
        <v>45643</v>
      </c>
      <c r="B181" s="2">
        <v>779.75</v>
      </c>
    </row>
    <row r="182" spans="1:2" x14ac:dyDescent="0.25">
      <c r="A182" s="5">
        <v>45644</v>
      </c>
      <c r="B182" s="2">
        <v>755.7</v>
      </c>
    </row>
    <row r="183" spans="1:2" x14ac:dyDescent="0.25">
      <c r="A183" s="5">
        <v>45645</v>
      </c>
      <c r="B183" s="2">
        <v>744.05</v>
      </c>
    </row>
    <row r="184" spans="1:2" x14ac:dyDescent="0.25">
      <c r="A184" s="5">
        <v>45646</v>
      </c>
      <c r="B184" s="2">
        <v>724.05</v>
      </c>
    </row>
    <row r="185" spans="1:2" x14ac:dyDescent="0.25">
      <c r="A185" s="5">
        <v>45649</v>
      </c>
      <c r="B185" s="2">
        <v>722.2</v>
      </c>
    </row>
    <row r="186" spans="1:2" x14ac:dyDescent="0.25">
      <c r="A186" s="5">
        <v>45650</v>
      </c>
      <c r="B186" s="2">
        <v>736.1</v>
      </c>
    </row>
    <row r="187" spans="1:2" x14ac:dyDescent="0.25">
      <c r="A187" s="5">
        <v>45652</v>
      </c>
      <c r="B187" s="2">
        <v>740.8</v>
      </c>
    </row>
    <row r="188" spans="1:2" x14ac:dyDescent="0.25">
      <c r="A188" s="5">
        <v>45653</v>
      </c>
      <c r="B188" s="2">
        <v>750.5</v>
      </c>
    </row>
    <row r="189" spans="1:2" x14ac:dyDescent="0.25">
      <c r="A189" s="5">
        <v>45656</v>
      </c>
      <c r="B189" s="2">
        <v>733.65</v>
      </c>
    </row>
    <row r="190" spans="1:2" x14ac:dyDescent="0.25">
      <c r="A190" s="5">
        <v>45657</v>
      </c>
      <c r="B190" s="2">
        <v>740.15</v>
      </c>
    </row>
    <row r="191" spans="1:2" x14ac:dyDescent="0.25">
      <c r="A191" s="5">
        <v>45658</v>
      </c>
      <c r="B191" s="2">
        <v>749.25</v>
      </c>
    </row>
    <row r="192" spans="1:2" x14ac:dyDescent="0.25">
      <c r="A192" s="5">
        <v>45659</v>
      </c>
      <c r="B192" s="2">
        <v>765.05</v>
      </c>
    </row>
    <row r="193" spans="1:2" x14ac:dyDescent="0.25">
      <c r="A193" s="5">
        <v>45660</v>
      </c>
      <c r="B193" s="2">
        <v>790.4</v>
      </c>
    </row>
    <row r="194" spans="1:2" x14ac:dyDescent="0.25">
      <c r="A194" s="5">
        <v>45663</v>
      </c>
      <c r="B194" s="2">
        <v>776.25</v>
      </c>
    </row>
    <row r="195" spans="1:2" x14ac:dyDescent="0.25">
      <c r="A195" s="5">
        <v>45664</v>
      </c>
      <c r="B195" s="2">
        <v>793.25</v>
      </c>
    </row>
    <row r="196" spans="1:2" x14ac:dyDescent="0.25">
      <c r="A196" s="5">
        <v>45665</v>
      </c>
      <c r="B196" s="2">
        <v>794.95</v>
      </c>
    </row>
    <row r="197" spans="1:2" x14ac:dyDescent="0.25">
      <c r="A197" s="5">
        <v>45666</v>
      </c>
      <c r="B197" s="2">
        <v>780.1</v>
      </c>
    </row>
    <row r="198" spans="1:2" x14ac:dyDescent="0.25">
      <c r="A198" s="5">
        <v>45667</v>
      </c>
      <c r="B198" s="2">
        <v>774.65</v>
      </c>
    </row>
    <row r="199" spans="1:2" x14ac:dyDescent="0.25">
      <c r="A199" s="5">
        <v>45670</v>
      </c>
      <c r="B199" s="2">
        <v>751</v>
      </c>
    </row>
    <row r="200" spans="1:2" x14ac:dyDescent="0.25">
      <c r="A200" s="5">
        <v>45671</v>
      </c>
      <c r="B200" s="2">
        <v>770.5</v>
      </c>
    </row>
    <row r="201" spans="1:2" x14ac:dyDescent="0.25">
      <c r="A201" s="5">
        <v>45672</v>
      </c>
      <c r="B201" s="2">
        <v>763.6</v>
      </c>
    </row>
    <row r="202" spans="1:2" x14ac:dyDescent="0.25">
      <c r="A202" s="5">
        <v>45673</v>
      </c>
      <c r="B202" s="2">
        <v>774.35</v>
      </c>
    </row>
    <row r="203" spans="1:2" x14ac:dyDescent="0.25">
      <c r="A203" s="5">
        <v>45674</v>
      </c>
      <c r="B203" s="2">
        <v>779.75</v>
      </c>
    </row>
    <row r="204" spans="1:2" x14ac:dyDescent="0.25">
      <c r="A204" s="5">
        <v>45677</v>
      </c>
      <c r="B204" s="2">
        <v>774.35</v>
      </c>
    </row>
    <row r="205" spans="1:2" x14ac:dyDescent="0.25">
      <c r="A205" s="5">
        <v>45678</v>
      </c>
      <c r="B205" s="2">
        <v>760.75</v>
      </c>
    </row>
    <row r="206" spans="1:2" x14ac:dyDescent="0.25">
      <c r="A206" s="5">
        <v>45679</v>
      </c>
      <c r="B206" s="2">
        <v>742.75</v>
      </c>
    </row>
    <row r="207" spans="1:2" x14ac:dyDescent="0.25">
      <c r="A207" s="5">
        <v>45680</v>
      </c>
      <c r="B207" s="2">
        <v>752.5</v>
      </c>
    </row>
    <row r="208" spans="1:2" x14ac:dyDescent="0.25">
      <c r="A208" s="5">
        <v>45681</v>
      </c>
      <c r="B208" s="2">
        <v>734.1</v>
      </c>
    </row>
    <row r="209" spans="1:2" x14ac:dyDescent="0.25">
      <c r="A209" s="5">
        <v>45684</v>
      </c>
      <c r="B209" s="2">
        <v>713.05</v>
      </c>
    </row>
    <row r="210" spans="1:2" x14ac:dyDescent="0.25">
      <c r="A210" s="5">
        <v>45685</v>
      </c>
      <c r="B210" s="2">
        <v>728.25</v>
      </c>
    </row>
    <row r="211" spans="1:2" x14ac:dyDescent="0.25">
      <c r="A211" s="5">
        <v>45686</v>
      </c>
      <c r="B211" s="2">
        <v>752.5</v>
      </c>
    </row>
    <row r="212" spans="1:2" x14ac:dyDescent="0.25">
      <c r="A212" s="5">
        <v>45687</v>
      </c>
      <c r="B212" s="2">
        <v>696.85</v>
      </c>
    </row>
    <row r="213" spans="1:2" x14ac:dyDescent="0.25">
      <c r="A213" s="5">
        <v>45688</v>
      </c>
      <c r="B213" s="2">
        <v>716.1</v>
      </c>
    </row>
    <row r="214" spans="1:2" x14ac:dyDescent="0.25">
      <c r="A214" s="5">
        <v>45689</v>
      </c>
      <c r="B214" s="2">
        <v>706.55</v>
      </c>
    </row>
    <row r="215" spans="1:2" x14ac:dyDescent="0.25">
      <c r="A215" s="5">
        <v>45691</v>
      </c>
      <c r="B215" s="2">
        <v>687.45</v>
      </c>
    </row>
    <row r="216" spans="1:2" x14ac:dyDescent="0.25">
      <c r="A216" s="5">
        <v>45692</v>
      </c>
      <c r="B216" s="2">
        <v>710.55</v>
      </c>
    </row>
    <row r="217" spans="1:2" x14ac:dyDescent="0.25">
      <c r="A217" s="5">
        <v>45693</v>
      </c>
      <c r="B217" s="2">
        <v>717.05</v>
      </c>
    </row>
    <row r="218" spans="1:2" x14ac:dyDescent="0.25">
      <c r="A218" s="5">
        <v>45694</v>
      </c>
      <c r="B218" s="2">
        <v>709.65</v>
      </c>
    </row>
    <row r="219" spans="1:2" x14ac:dyDescent="0.25">
      <c r="A219" s="5">
        <v>45695</v>
      </c>
      <c r="B219" s="2">
        <v>706.75</v>
      </c>
    </row>
    <row r="220" spans="1:2" x14ac:dyDescent="0.25">
      <c r="A220" s="5">
        <v>45698</v>
      </c>
      <c r="B220" s="2">
        <v>696</v>
      </c>
    </row>
    <row r="221" spans="1:2" x14ac:dyDescent="0.25">
      <c r="A221" s="5">
        <v>45699</v>
      </c>
      <c r="B221" s="2">
        <v>677.75</v>
      </c>
    </row>
    <row r="222" spans="1:2" x14ac:dyDescent="0.25">
      <c r="A222" s="5">
        <v>45700</v>
      </c>
      <c r="B222" s="2">
        <v>684.35</v>
      </c>
    </row>
    <row r="223" spans="1:2" x14ac:dyDescent="0.25">
      <c r="A223" s="5">
        <v>45701</v>
      </c>
      <c r="B223" s="2">
        <v>683.85</v>
      </c>
    </row>
    <row r="224" spans="1:2" x14ac:dyDescent="0.25">
      <c r="A224" s="5">
        <v>45702</v>
      </c>
      <c r="B224" s="2">
        <v>680.65</v>
      </c>
    </row>
    <row r="225" spans="1:2" x14ac:dyDescent="0.25">
      <c r="A225" s="5">
        <v>45705</v>
      </c>
      <c r="B225" s="2">
        <v>686.6</v>
      </c>
    </row>
    <row r="226" spans="1:2" x14ac:dyDescent="0.25">
      <c r="A226" s="5">
        <v>45706</v>
      </c>
      <c r="B226" s="2">
        <v>682.4</v>
      </c>
    </row>
    <row r="227" spans="1:2" x14ac:dyDescent="0.25">
      <c r="A227" s="5">
        <v>45707</v>
      </c>
      <c r="B227" s="2">
        <v>681</v>
      </c>
    </row>
    <row r="228" spans="1:2" x14ac:dyDescent="0.25">
      <c r="A228" s="5">
        <v>45708</v>
      </c>
      <c r="B228" s="2">
        <v>689.8</v>
      </c>
    </row>
    <row r="229" spans="1:2" x14ac:dyDescent="0.25">
      <c r="A229" s="5">
        <v>45709</v>
      </c>
      <c r="B229" s="2">
        <v>673.2</v>
      </c>
    </row>
    <row r="230" spans="1:2" x14ac:dyDescent="0.25">
      <c r="A230" s="5">
        <v>45712</v>
      </c>
      <c r="B230" s="2">
        <v>668.25</v>
      </c>
    </row>
    <row r="231" spans="1:2" x14ac:dyDescent="0.25">
      <c r="A231" s="5">
        <v>45713</v>
      </c>
      <c r="B231" s="2">
        <v>661.6</v>
      </c>
    </row>
    <row r="232" spans="1:2" x14ac:dyDescent="0.25">
      <c r="A232" s="5">
        <v>45715</v>
      </c>
      <c r="B232" s="2">
        <v>648.54999999999995</v>
      </c>
    </row>
    <row r="233" spans="1:2" x14ac:dyDescent="0.25">
      <c r="A233" s="5">
        <v>45716</v>
      </c>
      <c r="B233" s="2">
        <v>620.65</v>
      </c>
    </row>
    <row r="234" spans="1:2" x14ac:dyDescent="0.25">
      <c r="A234" s="5">
        <v>45719</v>
      </c>
      <c r="B234" s="2">
        <v>621.15</v>
      </c>
    </row>
    <row r="235" spans="1:2" x14ac:dyDescent="0.25">
      <c r="A235" s="5">
        <v>45720</v>
      </c>
      <c r="B235" s="2">
        <v>619.20000000000005</v>
      </c>
    </row>
    <row r="236" spans="1:2" x14ac:dyDescent="0.25">
      <c r="A236" s="5">
        <v>45721</v>
      </c>
      <c r="B236" s="2">
        <v>640.79999999999995</v>
      </c>
    </row>
    <row r="237" spans="1:2" x14ac:dyDescent="0.25">
      <c r="A237" s="5">
        <v>45722</v>
      </c>
      <c r="B237" s="2">
        <v>639.65</v>
      </c>
    </row>
    <row r="238" spans="1:2" x14ac:dyDescent="0.25">
      <c r="A238" s="5">
        <v>45723</v>
      </c>
      <c r="B238" s="2">
        <v>648.29999999999995</v>
      </c>
    </row>
    <row r="239" spans="1:2" x14ac:dyDescent="0.25">
      <c r="A239" s="5">
        <v>45726</v>
      </c>
      <c r="B239" s="2">
        <v>648.15</v>
      </c>
    </row>
    <row r="240" spans="1:2" x14ac:dyDescent="0.25">
      <c r="A240" s="5">
        <v>45727</v>
      </c>
      <c r="B240" s="2">
        <v>648.04999999999995</v>
      </c>
    </row>
    <row r="241" spans="1:2" x14ac:dyDescent="0.25">
      <c r="A241" s="5">
        <v>45728</v>
      </c>
      <c r="B241" s="2">
        <v>668.3</v>
      </c>
    </row>
    <row r="242" spans="1:2" x14ac:dyDescent="0.25">
      <c r="A242" s="5">
        <v>45729</v>
      </c>
      <c r="B242" s="2">
        <v>655.5</v>
      </c>
    </row>
    <row r="243" spans="1:2" x14ac:dyDescent="0.25">
      <c r="A243" s="5">
        <v>45733</v>
      </c>
      <c r="B243" s="2">
        <v>661.05</v>
      </c>
    </row>
    <row r="244" spans="1:2" x14ac:dyDescent="0.25">
      <c r="A244" s="5">
        <v>45734</v>
      </c>
      <c r="B244" s="2">
        <v>680.05</v>
      </c>
    </row>
    <row r="245" spans="1:2" x14ac:dyDescent="0.25">
      <c r="A245" s="5">
        <v>45735</v>
      </c>
      <c r="B245" s="2">
        <v>682.25</v>
      </c>
    </row>
    <row r="246" spans="1:2" x14ac:dyDescent="0.25">
      <c r="A246" s="5">
        <v>45736</v>
      </c>
      <c r="B246" s="2">
        <v>690.05</v>
      </c>
    </row>
    <row r="247" spans="1:2" x14ac:dyDescent="0.25">
      <c r="A247" s="5">
        <v>45737</v>
      </c>
      <c r="B247" s="2">
        <v>702.95</v>
      </c>
    </row>
    <row r="248" spans="1:2" x14ac:dyDescent="0.25">
      <c r="A248" s="5">
        <v>45740</v>
      </c>
      <c r="B248" s="2">
        <v>713.5</v>
      </c>
    </row>
    <row r="249" spans="1:2" x14ac:dyDescent="0.25">
      <c r="A249" s="5">
        <v>45741</v>
      </c>
      <c r="B249" s="2">
        <v>710.3</v>
      </c>
    </row>
    <row r="250" spans="1:2" x14ac:dyDescent="0.25">
      <c r="A250" s="5">
        <v>45742</v>
      </c>
      <c r="B250" s="2">
        <v>708.25</v>
      </c>
    </row>
    <row r="251" spans="1:2" x14ac:dyDescent="0.25">
      <c r="A251" s="5">
        <v>45743</v>
      </c>
      <c r="B251" s="2">
        <v>668.55</v>
      </c>
    </row>
    <row r="252" spans="1:2" x14ac:dyDescent="0.25">
      <c r="A252" s="5">
        <v>45744</v>
      </c>
      <c r="B252" s="2">
        <v>674.45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ECB3F-C732-4918-AC86-147C1775AE18}">
  <dimension ref="A3:M251"/>
  <sheetViews>
    <sheetView topLeftCell="A2" zoomScale="102" workbookViewId="0">
      <selection activeCell="B4" sqref="B4"/>
    </sheetView>
  </sheetViews>
  <sheetFormatPr defaultRowHeight="15" x14ac:dyDescent="0.25"/>
  <cols>
    <col min="1" max="1" width="13.42578125" bestFit="1" customWidth="1"/>
    <col min="2" max="2" width="16" bestFit="1" customWidth="1"/>
    <col min="3" max="3" width="15.85546875" bestFit="1" customWidth="1"/>
    <col min="4" max="4" width="13.5703125" bestFit="1" customWidth="1"/>
    <col min="13" max="13" width="13.140625" bestFit="1" customWidth="1"/>
    <col min="14" max="14" width="14.140625" bestFit="1" customWidth="1"/>
  </cols>
  <sheetData>
    <row r="3" spans="1:13" x14ac:dyDescent="0.25">
      <c r="A3" s="3" t="s">
        <v>18</v>
      </c>
      <c r="B3" t="s">
        <v>23</v>
      </c>
      <c r="C3" t="s">
        <v>22</v>
      </c>
    </row>
    <row r="4" spans="1:13" x14ac:dyDescent="0.25">
      <c r="A4" s="4" t="s">
        <v>21</v>
      </c>
      <c r="B4" s="2">
        <v>968.14590909090907</v>
      </c>
      <c r="C4" s="2">
        <v>306757650</v>
      </c>
    </row>
    <row r="5" spans="1:13" x14ac:dyDescent="0.25">
      <c r="A5" s="4" t="s">
        <v>32</v>
      </c>
      <c r="B5" s="2">
        <v>669.41000000000008</v>
      </c>
      <c r="C5" s="2">
        <v>243136629</v>
      </c>
      <c r="M5" s="1"/>
    </row>
    <row r="6" spans="1:13" x14ac:dyDescent="0.25">
      <c r="A6" s="4" t="s">
        <v>33</v>
      </c>
      <c r="B6" s="2">
        <v>680.44800000000009</v>
      </c>
      <c r="C6" s="2">
        <v>245072016</v>
      </c>
      <c r="M6" s="1"/>
    </row>
    <row r="7" spans="1:13" x14ac:dyDescent="0.25">
      <c r="A7" s="4" t="s">
        <v>34</v>
      </c>
      <c r="B7" s="2">
        <v>766.89458333333334</v>
      </c>
      <c r="C7" s="2">
        <v>358730064</v>
      </c>
      <c r="M7" s="1"/>
    </row>
    <row r="8" spans="1:13" x14ac:dyDescent="0.25">
      <c r="A8" s="4" t="s">
        <v>35</v>
      </c>
      <c r="B8" s="2">
        <v>769.74571428571414</v>
      </c>
      <c r="C8" s="2">
        <v>269472023</v>
      </c>
      <c r="M8" s="1"/>
    </row>
    <row r="9" spans="1:13" x14ac:dyDescent="0.25">
      <c r="A9" s="4" t="s">
        <v>36</v>
      </c>
      <c r="B9" s="2">
        <v>797.63157894736855</v>
      </c>
      <c r="C9" s="2">
        <v>261187086</v>
      </c>
      <c r="M9" s="1"/>
    </row>
    <row r="10" spans="1:13" x14ac:dyDescent="0.25">
      <c r="A10" s="4" t="s">
        <v>37</v>
      </c>
      <c r="B10" s="2">
        <v>897.42227272727257</v>
      </c>
      <c r="C10" s="2">
        <v>267645566</v>
      </c>
      <c r="M10" s="1"/>
    </row>
    <row r="11" spans="1:13" x14ac:dyDescent="0.25">
      <c r="A11" s="4" t="s">
        <v>38</v>
      </c>
      <c r="B11" s="2">
        <v>1001.3790476190474</v>
      </c>
      <c r="C11" s="2">
        <v>298426836</v>
      </c>
      <c r="M11" s="1"/>
    </row>
    <row r="12" spans="1:13" x14ac:dyDescent="0.25">
      <c r="A12" s="4" t="s">
        <v>39</v>
      </c>
      <c r="B12" s="2">
        <v>1075.2166666666667</v>
      </c>
      <c r="C12" s="2">
        <v>278523881</v>
      </c>
      <c r="M12" s="1"/>
    </row>
    <row r="13" spans="1:13" x14ac:dyDescent="0.25">
      <c r="A13" s="4" t="s">
        <v>40</v>
      </c>
      <c r="B13" s="2">
        <v>1039.8268181818182</v>
      </c>
      <c r="C13" s="2">
        <v>272827239</v>
      </c>
      <c r="M13" s="1"/>
    </row>
    <row r="14" spans="1:13" x14ac:dyDescent="0.25">
      <c r="A14" s="4" t="s">
        <v>41</v>
      </c>
      <c r="B14" s="2">
        <v>968.132105263158</v>
      </c>
      <c r="C14" s="2">
        <v>249381507</v>
      </c>
      <c r="M14" s="1"/>
    </row>
    <row r="15" spans="1:13" x14ac:dyDescent="0.25">
      <c r="A15" s="4" t="s">
        <v>42</v>
      </c>
      <c r="B15" s="2">
        <v>1000.4515000000001</v>
      </c>
      <c r="C15" s="2">
        <v>173343316</v>
      </c>
      <c r="M15" s="1"/>
    </row>
    <row r="16" spans="1:13" x14ac:dyDescent="0.25">
      <c r="M16" s="1"/>
    </row>
    <row r="17" spans="13:13" x14ac:dyDescent="0.25">
      <c r="M17" s="1"/>
    </row>
    <row r="18" spans="13:13" x14ac:dyDescent="0.25">
      <c r="M18" s="1"/>
    </row>
    <row r="19" spans="13:13" x14ac:dyDescent="0.25">
      <c r="M19" s="1"/>
    </row>
    <row r="20" spans="13:13" x14ac:dyDescent="0.25">
      <c r="M20" s="1"/>
    </row>
    <row r="21" spans="13:13" x14ac:dyDescent="0.25">
      <c r="M21" s="1"/>
    </row>
    <row r="22" spans="13:13" x14ac:dyDescent="0.25">
      <c r="M22" s="1"/>
    </row>
    <row r="23" spans="13:13" x14ac:dyDescent="0.25">
      <c r="M23" s="1"/>
    </row>
    <row r="24" spans="13:13" x14ac:dyDescent="0.25">
      <c r="M24" s="1"/>
    </row>
    <row r="25" spans="13:13" x14ac:dyDescent="0.25">
      <c r="M25" s="1"/>
    </row>
    <row r="26" spans="13:13" x14ac:dyDescent="0.25">
      <c r="M26" s="1"/>
    </row>
    <row r="27" spans="13:13" x14ac:dyDescent="0.25">
      <c r="M27" s="1"/>
    </row>
    <row r="28" spans="13:13" x14ac:dyDescent="0.25">
      <c r="M28" s="1"/>
    </row>
    <row r="29" spans="13:13" x14ac:dyDescent="0.25">
      <c r="M29" s="1"/>
    </row>
    <row r="30" spans="13:13" x14ac:dyDescent="0.25">
      <c r="M30" s="1"/>
    </row>
    <row r="31" spans="13:13" x14ac:dyDescent="0.25">
      <c r="M31" s="1"/>
    </row>
    <row r="32" spans="13:13" x14ac:dyDescent="0.25">
      <c r="M32" s="1"/>
    </row>
    <row r="33" spans="13:13" x14ac:dyDescent="0.25">
      <c r="M33" s="1"/>
    </row>
    <row r="34" spans="13:13" x14ac:dyDescent="0.25">
      <c r="M34" s="1"/>
    </row>
    <row r="35" spans="13:13" x14ac:dyDescent="0.25">
      <c r="M35" s="1"/>
    </row>
    <row r="36" spans="13:13" x14ac:dyDescent="0.25">
      <c r="M36" s="1"/>
    </row>
    <row r="37" spans="13:13" x14ac:dyDescent="0.25">
      <c r="M37" s="1"/>
    </row>
    <row r="38" spans="13:13" x14ac:dyDescent="0.25">
      <c r="M38" s="1"/>
    </row>
    <row r="39" spans="13:13" x14ac:dyDescent="0.25">
      <c r="M39" s="1"/>
    </row>
    <row r="40" spans="13:13" x14ac:dyDescent="0.25">
      <c r="M40" s="1"/>
    </row>
    <row r="41" spans="13:13" x14ac:dyDescent="0.25">
      <c r="M41" s="1"/>
    </row>
    <row r="42" spans="13:13" x14ac:dyDescent="0.25">
      <c r="M42" s="1"/>
    </row>
    <row r="43" spans="13:13" x14ac:dyDescent="0.25">
      <c r="M43" s="1"/>
    </row>
    <row r="44" spans="13:13" x14ac:dyDescent="0.25">
      <c r="M44" s="1"/>
    </row>
    <row r="45" spans="13:13" x14ac:dyDescent="0.25">
      <c r="M45" s="1"/>
    </row>
    <row r="46" spans="13:13" x14ac:dyDescent="0.25">
      <c r="M46" s="1"/>
    </row>
    <row r="47" spans="13:13" x14ac:dyDescent="0.25">
      <c r="M47" s="1"/>
    </row>
    <row r="48" spans="13:13" x14ac:dyDescent="0.25">
      <c r="M48" s="1"/>
    </row>
    <row r="49" spans="13:13" x14ac:dyDescent="0.25">
      <c r="M49" s="1"/>
    </row>
    <row r="50" spans="13:13" x14ac:dyDescent="0.25">
      <c r="M50" s="1"/>
    </row>
    <row r="51" spans="13:13" x14ac:dyDescent="0.25">
      <c r="M51" s="1"/>
    </row>
    <row r="52" spans="13:13" x14ac:dyDescent="0.25">
      <c r="M52" s="1"/>
    </row>
    <row r="53" spans="13:13" x14ac:dyDescent="0.25">
      <c r="M53" s="1"/>
    </row>
    <row r="54" spans="13:13" x14ac:dyDescent="0.25">
      <c r="M54" s="1"/>
    </row>
    <row r="55" spans="13:13" x14ac:dyDescent="0.25">
      <c r="M55" s="1"/>
    </row>
    <row r="56" spans="13:13" x14ac:dyDescent="0.25">
      <c r="M56" s="1"/>
    </row>
    <row r="57" spans="13:13" x14ac:dyDescent="0.25">
      <c r="M57" s="1"/>
    </row>
    <row r="58" spans="13:13" x14ac:dyDescent="0.25">
      <c r="M58" s="1"/>
    </row>
    <row r="59" spans="13:13" x14ac:dyDescent="0.25">
      <c r="M59" s="1"/>
    </row>
    <row r="60" spans="13:13" x14ac:dyDescent="0.25">
      <c r="M60" s="1"/>
    </row>
    <row r="61" spans="13:13" x14ac:dyDescent="0.25">
      <c r="M61" s="1"/>
    </row>
    <row r="62" spans="13:13" x14ac:dyDescent="0.25">
      <c r="M62" s="1"/>
    </row>
    <row r="63" spans="13:13" x14ac:dyDescent="0.25">
      <c r="M63" s="1"/>
    </row>
    <row r="64" spans="13:13" x14ac:dyDescent="0.25">
      <c r="M64" s="1"/>
    </row>
    <row r="65" spans="13:13" x14ac:dyDescent="0.25">
      <c r="M65" s="1"/>
    </row>
    <row r="66" spans="13:13" x14ac:dyDescent="0.25">
      <c r="M66" s="1"/>
    </row>
    <row r="67" spans="13:13" x14ac:dyDescent="0.25">
      <c r="M67" s="1"/>
    </row>
    <row r="68" spans="13:13" x14ac:dyDescent="0.25">
      <c r="M68" s="1"/>
    </row>
    <row r="69" spans="13:13" x14ac:dyDescent="0.25">
      <c r="M69" s="1"/>
    </row>
    <row r="70" spans="13:13" x14ac:dyDescent="0.25">
      <c r="M70" s="1"/>
    </row>
    <row r="71" spans="13:13" x14ac:dyDescent="0.25">
      <c r="M71" s="1"/>
    </row>
    <row r="72" spans="13:13" x14ac:dyDescent="0.25">
      <c r="M72" s="1"/>
    </row>
    <row r="73" spans="13:13" x14ac:dyDescent="0.25">
      <c r="M73" s="1"/>
    </row>
    <row r="74" spans="13:13" x14ac:dyDescent="0.25">
      <c r="M74" s="1"/>
    </row>
    <row r="75" spans="13:13" x14ac:dyDescent="0.25">
      <c r="M75" s="1"/>
    </row>
    <row r="76" spans="13:13" x14ac:dyDescent="0.25">
      <c r="M76" s="1"/>
    </row>
    <row r="77" spans="13:13" x14ac:dyDescent="0.25">
      <c r="M77" s="1"/>
    </row>
    <row r="78" spans="13:13" x14ac:dyDescent="0.25">
      <c r="M78" s="1"/>
    </row>
    <row r="79" spans="13:13" x14ac:dyDescent="0.25">
      <c r="M79" s="1"/>
    </row>
    <row r="80" spans="13:13" x14ac:dyDescent="0.25">
      <c r="M80" s="1"/>
    </row>
    <row r="81" spans="13:13" x14ac:dyDescent="0.25">
      <c r="M81" s="1"/>
    </row>
    <row r="82" spans="13:13" x14ac:dyDescent="0.25">
      <c r="M82" s="1"/>
    </row>
    <row r="83" spans="13:13" x14ac:dyDescent="0.25">
      <c r="M83" s="1"/>
    </row>
    <row r="84" spans="13:13" x14ac:dyDescent="0.25">
      <c r="M84" s="1"/>
    </row>
    <row r="85" spans="13:13" x14ac:dyDescent="0.25">
      <c r="M85" s="1"/>
    </row>
    <row r="86" spans="13:13" x14ac:dyDescent="0.25">
      <c r="M86" s="1"/>
    </row>
    <row r="87" spans="13:13" x14ac:dyDescent="0.25">
      <c r="M87" s="1"/>
    </row>
    <row r="88" spans="13:13" x14ac:dyDescent="0.25">
      <c r="M88" s="1"/>
    </row>
    <row r="89" spans="13:13" x14ac:dyDescent="0.25">
      <c r="M89" s="1"/>
    </row>
    <row r="90" spans="13:13" x14ac:dyDescent="0.25">
      <c r="M90" s="1"/>
    </row>
    <row r="91" spans="13:13" x14ac:dyDescent="0.25">
      <c r="M91" s="1"/>
    </row>
    <row r="92" spans="13:13" x14ac:dyDescent="0.25">
      <c r="M92" s="1"/>
    </row>
    <row r="93" spans="13:13" x14ac:dyDescent="0.25">
      <c r="M93" s="1"/>
    </row>
    <row r="94" spans="13:13" x14ac:dyDescent="0.25">
      <c r="M94" s="1"/>
    </row>
    <row r="95" spans="13:13" x14ac:dyDescent="0.25">
      <c r="M95" s="1"/>
    </row>
    <row r="96" spans="13:13" x14ac:dyDescent="0.25">
      <c r="M96" s="1"/>
    </row>
    <row r="97" spans="13:13" x14ac:dyDescent="0.25">
      <c r="M97" s="1"/>
    </row>
    <row r="98" spans="13:13" x14ac:dyDescent="0.25">
      <c r="M98" s="1"/>
    </row>
    <row r="99" spans="13:13" x14ac:dyDescent="0.25">
      <c r="M99" s="1"/>
    </row>
    <row r="100" spans="13:13" x14ac:dyDescent="0.25">
      <c r="M100" s="1"/>
    </row>
    <row r="101" spans="13:13" x14ac:dyDescent="0.25">
      <c r="M101" s="1"/>
    </row>
    <row r="102" spans="13:13" x14ac:dyDescent="0.25">
      <c r="M102" s="1"/>
    </row>
    <row r="103" spans="13:13" x14ac:dyDescent="0.25">
      <c r="M103" s="1"/>
    </row>
    <row r="104" spans="13:13" x14ac:dyDescent="0.25">
      <c r="M104" s="1"/>
    </row>
    <row r="105" spans="13:13" x14ac:dyDescent="0.25">
      <c r="M105" s="1"/>
    </row>
    <row r="106" spans="13:13" x14ac:dyDescent="0.25">
      <c r="M106" s="1"/>
    </row>
    <row r="107" spans="13:13" x14ac:dyDescent="0.25">
      <c r="M107" s="1"/>
    </row>
    <row r="108" spans="13:13" x14ac:dyDescent="0.25">
      <c r="M108" s="1"/>
    </row>
    <row r="109" spans="13:13" x14ac:dyDescent="0.25">
      <c r="M109" s="1"/>
    </row>
    <row r="110" spans="13:13" x14ac:dyDescent="0.25">
      <c r="M110" s="1"/>
    </row>
    <row r="111" spans="13:13" x14ac:dyDescent="0.25">
      <c r="M111" s="1"/>
    </row>
    <row r="112" spans="13:13" x14ac:dyDescent="0.25">
      <c r="M112" s="1"/>
    </row>
    <row r="113" spans="13:13" x14ac:dyDescent="0.25">
      <c r="M113" s="1"/>
    </row>
    <row r="114" spans="13:13" x14ac:dyDescent="0.25">
      <c r="M114" s="1"/>
    </row>
    <row r="115" spans="13:13" x14ac:dyDescent="0.25">
      <c r="M115" s="1"/>
    </row>
    <row r="116" spans="13:13" x14ac:dyDescent="0.25">
      <c r="M116" s="1"/>
    </row>
    <row r="117" spans="13:13" x14ac:dyDescent="0.25">
      <c r="M117" s="1"/>
    </row>
    <row r="118" spans="13:13" x14ac:dyDescent="0.25">
      <c r="M118" s="1"/>
    </row>
    <row r="119" spans="13:13" x14ac:dyDescent="0.25">
      <c r="M119" s="1"/>
    </row>
    <row r="120" spans="13:13" x14ac:dyDescent="0.25">
      <c r="M120" s="1"/>
    </row>
    <row r="121" spans="13:13" x14ac:dyDescent="0.25">
      <c r="M121" s="1"/>
    </row>
    <row r="122" spans="13:13" x14ac:dyDescent="0.25">
      <c r="M122" s="1"/>
    </row>
    <row r="123" spans="13:13" x14ac:dyDescent="0.25">
      <c r="M123" s="1"/>
    </row>
    <row r="124" spans="13:13" x14ac:dyDescent="0.25">
      <c r="M124" s="1"/>
    </row>
    <row r="125" spans="13:13" x14ac:dyDescent="0.25">
      <c r="M125" s="1"/>
    </row>
    <row r="126" spans="13:13" x14ac:dyDescent="0.25">
      <c r="M126" s="1"/>
    </row>
    <row r="127" spans="13:13" x14ac:dyDescent="0.25">
      <c r="M127" s="1"/>
    </row>
    <row r="128" spans="13:13" x14ac:dyDescent="0.25">
      <c r="M128" s="1"/>
    </row>
    <row r="129" spans="13:13" x14ac:dyDescent="0.25">
      <c r="M129" s="1"/>
    </row>
    <row r="130" spans="13:13" x14ac:dyDescent="0.25">
      <c r="M130" s="1"/>
    </row>
    <row r="131" spans="13:13" x14ac:dyDescent="0.25">
      <c r="M131" s="1"/>
    </row>
    <row r="132" spans="13:13" x14ac:dyDescent="0.25">
      <c r="M132" s="1"/>
    </row>
    <row r="133" spans="13:13" x14ac:dyDescent="0.25">
      <c r="M133" s="1"/>
    </row>
    <row r="134" spans="13:13" x14ac:dyDescent="0.25">
      <c r="M134" s="1"/>
    </row>
    <row r="135" spans="13:13" x14ac:dyDescent="0.25">
      <c r="M135" s="1"/>
    </row>
    <row r="136" spans="13:13" x14ac:dyDescent="0.25">
      <c r="M136" s="1"/>
    </row>
    <row r="137" spans="13:13" x14ac:dyDescent="0.25">
      <c r="M137" s="1"/>
    </row>
    <row r="138" spans="13:13" x14ac:dyDescent="0.25">
      <c r="M138" s="1"/>
    </row>
    <row r="139" spans="13:13" x14ac:dyDescent="0.25">
      <c r="M139" s="1"/>
    </row>
    <row r="140" spans="13:13" x14ac:dyDescent="0.25">
      <c r="M140" s="1"/>
    </row>
    <row r="141" spans="13:13" x14ac:dyDescent="0.25">
      <c r="M141" s="1"/>
    </row>
    <row r="142" spans="13:13" x14ac:dyDescent="0.25">
      <c r="M142" s="1"/>
    </row>
    <row r="143" spans="13:13" x14ac:dyDescent="0.25">
      <c r="M143" s="1"/>
    </row>
    <row r="144" spans="13:13" x14ac:dyDescent="0.25">
      <c r="M144" s="1"/>
    </row>
    <row r="145" spans="13:13" x14ac:dyDescent="0.25">
      <c r="M145" s="1"/>
    </row>
    <row r="146" spans="13:13" x14ac:dyDescent="0.25">
      <c r="M146" s="1"/>
    </row>
    <row r="147" spans="13:13" x14ac:dyDescent="0.25">
      <c r="M147" s="1"/>
    </row>
    <row r="148" spans="13:13" x14ac:dyDescent="0.25">
      <c r="M148" s="1"/>
    </row>
    <row r="149" spans="13:13" x14ac:dyDescent="0.25">
      <c r="M149" s="1"/>
    </row>
    <row r="150" spans="13:13" x14ac:dyDescent="0.25">
      <c r="M150" s="1"/>
    </row>
    <row r="151" spans="13:13" x14ac:dyDescent="0.25">
      <c r="M151" s="1"/>
    </row>
    <row r="152" spans="13:13" x14ac:dyDescent="0.25">
      <c r="M152" s="1"/>
    </row>
    <row r="153" spans="13:13" x14ac:dyDescent="0.25">
      <c r="M153" s="1"/>
    </row>
    <row r="154" spans="13:13" x14ac:dyDescent="0.25">
      <c r="M154" s="1"/>
    </row>
    <row r="155" spans="13:13" x14ac:dyDescent="0.25">
      <c r="M155" s="1"/>
    </row>
    <row r="156" spans="13:13" x14ac:dyDescent="0.25">
      <c r="M156" s="1"/>
    </row>
    <row r="157" spans="13:13" x14ac:dyDescent="0.25">
      <c r="M157" s="1"/>
    </row>
    <row r="158" spans="13:13" x14ac:dyDescent="0.25">
      <c r="M158" s="1"/>
    </row>
    <row r="159" spans="13:13" x14ac:dyDescent="0.25">
      <c r="M159" s="1"/>
    </row>
    <row r="160" spans="13:13" x14ac:dyDescent="0.25">
      <c r="M160" s="1"/>
    </row>
    <row r="161" spans="13:13" x14ac:dyDescent="0.25">
      <c r="M161" s="1"/>
    </row>
    <row r="162" spans="13:13" x14ac:dyDescent="0.25">
      <c r="M162" s="1"/>
    </row>
    <row r="163" spans="13:13" x14ac:dyDescent="0.25">
      <c r="M163" s="1"/>
    </row>
    <row r="164" spans="13:13" x14ac:dyDescent="0.25">
      <c r="M164" s="1"/>
    </row>
    <row r="165" spans="13:13" x14ac:dyDescent="0.25">
      <c r="M165" s="1"/>
    </row>
    <row r="166" spans="13:13" x14ac:dyDescent="0.25">
      <c r="M166" s="1"/>
    </row>
    <row r="167" spans="13:13" x14ac:dyDescent="0.25">
      <c r="M167" s="1"/>
    </row>
    <row r="168" spans="13:13" x14ac:dyDescent="0.25">
      <c r="M168" s="1"/>
    </row>
    <row r="169" spans="13:13" x14ac:dyDescent="0.25">
      <c r="M169" s="1"/>
    </row>
    <row r="170" spans="13:13" x14ac:dyDescent="0.25">
      <c r="M170" s="1"/>
    </row>
    <row r="171" spans="13:13" x14ac:dyDescent="0.25">
      <c r="M171" s="1"/>
    </row>
    <row r="172" spans="13:13" x14ac:dyDescent="0.25">
      <c r="M172" s="1"/>
    </row>
    <row r="173" spans="13:13" x14ac:dyDescent="0.25">
      <c r="M173" s="1"/>
    </row>
    <row r="174" spans="13:13" x14ac:dyDescent="0.25">
      <c r="M174" s="1"/>
    </row>
    <row r="175" spans="13:13" x14ac:dyDescent="0.25">
      <c r="M175" s="1"/>
    </row>
    <row r="176" spans="13:13" x14ac:dyDescent="0.25">
      <c r="M176" s="1"/>
    </row>
    <row r="177" spans="13:13" x14ac:dyDescent="0.25">
      <c r="M177" s="1"/>
    </row>
    <row r="178" spans="13:13" x14ac:dyDescent="0.25">
      <c r="M178" s="1"/>
    </row>
    <row r="179" spans="13:13" x14ac:dyDescent="0.25">
      <c r="M179" s="1"/>
    </row>
    <row r="180" spans="13:13" x14ac:dyDescent="0.25">
      <c r="M180" s="1"/>
    </row>
    <row r="181" spans="13:13" x14ac:dyDescent="0.25">
      <c r="M181" s="1"/>
    </row>
    <row r="182" spans="13:13" x14ac:dyDescent="0.25">
      <c r="M182" s="1"/>
    </row>
    <row r="183" spans="13:13" x14ac:dyDescent="0.25">
      <c r="M183" s="1"/>
    </row>
    <row r="184" spans="13:13" x14ac:dyDescent="0.25">
      <c r="M184" s="1"/>
    </row>
    <row r="185" spans="13:13" x14ac:dyDescent="0.25">
      <c r="M185" s="1"/>
    </row>
    <row r="186" spans="13:13" x14ac:dyDescent="0.25">
      <c r="M186" s="1"/>
    </row>
    <row r="187" spans="13:13" x14ac:dyDescent="0.25">
      <c r="M187" s="1"/>
    </row>
    <row r="188" spans="13:13" x14ac:dyDescent="0.25">
      <c r="M188" s="1"/>
    </row>
    <row r="189" spans="13:13" x14ac:dyDescent="0.25">
      <c r="M189" s="1"/>
    </row>
    <row r="190" spans="13:13" x14ac:dyDescent="0.25">
      <c r="M190" s="1"/>
    </row>
    <row r="191" spans="13:13" x14ac:dyDescent="0.25">
      <c r="M191" s="1"/>
    </row>
    <row r="192" spans="13:13" x14ac:dyDescent="0.25">
      <c r="M192" s="1"/>
    </row>
    <row r="193" spans="13:13" x14ac:dyDescent="0.25">
      <c r="M193" s="1"/>
    </row>
    <row r="194" spans="13:13" x14ac:dyDescent="0.25">
      <c r="M194" s="1"/>
    </row>
    <row r="195" spans="13:13" x14ac:dyDescent="0.25">
      <c r="M195" s="1"/>
    </row>
    <row r="196" spans="13:13" x14ac:dyDescent="0.25">
      <c r="M196" s="1"/>
    </row>
    <row r="197" spans="13:13" x14ac:dyDescent="0.25">
      <c r="M197" s="1"/>
    </row>
    <row r="198" spans="13:13" x14ac:dyDescent="0.25">
      <c r="M198" s="1"/>
    </row>
    <row r="199" spans="13:13" x14ac:dyDescent="0.25">
      <c r="M199" s="1"/>
    </row>
    <row r="200" spans="13:13" x14ac:dyDescent="0.25">
      <c r="M200" s="1"/>
    </row>
    <row r="201" spans="13:13" x14ac:dyDescent="0.25">
      <c r="M201" s="1"/>
    </row>
    <row r="202" spans="13:13" x14ac:dyDescent="0.25">
      <c r="M202" s="1"/>
    </row>
    <row r="203" spans="13:13" x14ac:dyDescent="0.25">
      <c r="M203" s="1"/>
    </row>
    <row r="204" spans="13:13" x14ac:dyDescent="0.25">
      <c r="M204" s="1"/>
    </row>
    <row r="205" spans="13:13" x14ac:dyDescent="0.25">
      <c r="M205" s="1"/>
    </row>
    <row r="206" spans="13:13" x14ac:dyDescent="0.25">
      <c r="M206" s="1"/>
    </row>
    <row r="207" spans="13:13" x14ac:dyDescent="0.25">
      <c r="M207" s="1"/>
    </row>
    <row r="208" spans="13:13" x14ac:dyDescent="0.25">
      <c r="M208" s="1"/>
    </row>
    <row r="209" spans="13:13" x14ac:dyDescent="0.25">
      <c r="M209" s="1"/>
    </row>
    <row r="210" spans="13:13" x14ac:dyDescent="0.25">
      <c r="M210" s="1"/>
    </row>
    <row r="211" spans="13:13" x14ac:dyDescent="0.25">
      <c r="M211" s="1"/>
    </row>
    <row r="212" spans="13:13" x14ac:dyDescent="0.25">
      <c r="M212" s="1"/>
    </row>
    <row r="213" spans="13:13" x14ac:dyDescent="0.25">
      <c r="M213" s="1"/>
    </row>
    <row r="214" spans="13:13" x14ac:dyDescent="0.25">
      <c r="M214" s="1"/>
    </row>
    <row r="215" spans="13:13" x14ac:dyDescent="0.25">
      <c r="M215" s="1"/>
    </row>
    <row r="216" spans="13:13" x14ac:dyDescent="0.25">
      <c r="M216" s="1"/>
    </row>
    <row r="217" spans="13:13" x14ac:dyDescent="0.25">
      <c r="M217" s="1"/>
    </row>
    <row r="218" spans="13:13" x14ac:dyDescent="0.25">
      <c r="M218" s="1"/>
    </row>
    <row r="219" spans="13:13" x14ac:dyDescent="0.25">
      <c r="M219" s="1"/>
    </row>
    <row r="220" spans="13:13" x14ac:dyDescent="0.25">
      <c r="M220" s="1"/>
    </row>
    <row r="221" spans="13:13" x14ac:dyDescent="0.25">
      <c r="M221" s="1"/>
    </row>
    <row r="222" spans="13:13" x14ac:dyDescent="0.25">
      <c r="M222" s="1"/>
    </row>
    <row r="223" spans="13:13" x14ac:dyDescent="0.25">
      <c r="M223" s="1"/>
    </row>
    <row r="224" spans="13:13" x14ac:dyDescent="0.25">
      <c r="M224" s="1"/>
    </row>
    <row r="225" spans="13:13" x14ac:dyDescent="0.25">
      <c r="M225" s="1"/>
    </row>
    <row r="226" spans="13:13" x14ac:dyDescent="0.25">
      <c r="M226" s="1"/>
    </row>
    <row r="227" spans="13:13" x14ac:dyDescent="0.25">
      <c r="M227" s="1"/>
    </row>
    <row r="228" spans="13:13" x14ac:dyDescent="0.25">
      <c r="M228" s="1"/>
    </row>
    <row r="229" spans="13:13" x14ac:dyDescent="0.25">
      <c r="M229" s="1"/>
    </row>
    <row r="230" spans="13:13" x14ac:dyDescent="0.25">
      <c r="M230" s="1"/>
    </row>
    <row r="231" spans="13:13" x14ac:dyDescent="0.25">
      <c r="M231" s="1"/>
    </row>
    <row r="232" spans="13:13" x14ac:dyDescent="0.25">
      <c r="M232" s="1"/>
    </row>
    <row r="233" spans="13:13" x14ac:dyDescent="0.25">
      <c r="M233" s="1"/>
    </row>
    <row r="234" spans="13:13" x14ac:dyDescent="0.25">
      <c r="M234" s="1"/>
    </row>
    <row r="235" spans="13:13" x14ac:dyDescent="0.25">
      <c r="M235" s="1"/>
    </row>
    <row r="236" spans="13:13" x14ac:dyDescent="0.25">
      <c r="M236" s="1"/>
    </row>
    <row r="237" spans="13:13" x14ac:dyDescent="0.25">
      <c r="M237" s="1"/>
    </row>
    <row r="238" spans="13:13" x14ac:dyDescent="0.25">
      <c r="M238" s="1"/>
    </row>
    <row r="239" spans="13:13" x14ac:dyDescent="0.25">
      <c r="M239" s="1"/>
    </row>
    <row r="240" spans="13:13" x14ac:dyDescent="0.25">
      <c r="M240" s="1"/>
    </row>
    <row r="241" spans="13:13" x14ac:dyDescent="0.25">
      <c r="M241" s="1"/>
    </row>
    <row r="242" spans="13:13" x14ac:dyDescent="0.25">
      <c r="M242" s="1"/>
    </row>
    <row r="243" spans="13:13" x14ac:dyDescent="0.25">
      <c r="M243" s="1"/>
    </row>
    <row r="244" spans="13:13" x14ac:dyDescent="0.25">
      <c r="M244" s="1"/>
    </row>
    <row r="245" spans="13:13" x14ac:dyDescent="0.25">
      <c r="M245" s="1"/>
    </row>
    <row r="246" spans="13:13" x14ac:dyDescent="0.25">
      <c r="M246" s="1"/>
    </row>
    <row r="247" spans="13:13" x14ac:dyDescent="0.25">
      <c r="M247" s="1"/>
    </row>
    <row r="248" spans="13:13" x14ac:dyDescent="0.25">
      <c r="M248" s="1"/>
    </row>
    <row r="249" spans="13:13" x14ac:dyDescent="0.25">
      <c r="M249" s="1"/>
    </row>
    <row r="250" spans="13:13" x14ac:dyDescent="0.25">
      <c r="M250" s="1"/>
    </row>
    <row r="251" spans="13:13" x14ac:dyDescent="0.25">
      <c r="M251" s="1"/>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E0D0D-6EDB-4C35-BFDC-E0B126820030}">
  <dimension ref="A3:C8"/>
  <sheetViews>
    <sheetView workbookViewId="0">
      <selection activeCell="N10" sqref="N10"/>
    </sheetView>
  </sheetViews>
  <sheetFormatPr defaultRowHeight="15" x14ac:dyDescent="0.25"/>
  <cols>
    <col min="1" max="1" width="13.42578125" bestFit="1" customWidth="1"/>
    <col min="2" max="2" width="13.5703125" bestFit="1" customWidth="1"/>
    <col min="3" max="3" width="14" bestFit="1" customWidth="1"/>
  </cols>
  <sheetData>
    <row r="3" spans="1:3" x14ac:dyDescent="0.25">
      <c r="A3" s="3" t="s">
        <v>18</v>
      </c>
      <c r="B3" t="s">
        <v>20</v>
      </c>
      <c r="C3" t="s">
        <v>19</v>
      </c>
    </row>
    <row r="4" spans="1:3" x14ac:dyDescent="0.25">
      <c r="A4" s="4" t="s">
        <v>31</v>
      </c>
      <c r="B4" s="2">
        <v>41312.999999999971</v>
      </c>
      <c r="C4" s="2">
        <v>73098</v>
      </c>
    </row>
    <row r="5" spans="1:3" x14ac:dyDescent="0.25">
      <c r="A5" s="4" t="s">
        <v>28</v>
      </c>
      <c r="B5" s="2">
        <v>30543.59999999998</v>
      </c>
      <c r="C5" s="2">
        <v>65001.59999999994</v>
      </c>
    </row>
    <row r="6" spans="1:3" x14ac:dyDescent="0.25">
      <c r="A6" s="4" t="s">
        <v>29</v>
      </c>
      <c r="B6" s="2">
        <v>38259.699999999975</v>
      </c>
      <c r="C6" s="2">
        <v>73345.600000000035</v>
      </c>
    </row>
    <row r="7" spans="1:3" x14ac:dyDescent="0.25">
      <c r="A7" s="4" t="s">
        <v>30</v>
      </c>
      <c r="B7" s="2">
        <v>40827.449999999983</v>
      </c>
      <c r="C7" s="2">
        <v>73098</v>
      </c>
    </row>
    <row r="8" spans="1:3" x14ac:dyDescent="0.25">
      <c r="A8" s="4" t="s">
        <v>24</v>
      </c>
      <c r="B8" s="2">
        <v>150943.74999999991</v>
      </c>
      <c r="C8" s="2">
        <v>284543.19999999995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45E1D-C3D6-47D8-8EFA-ADAAF552DCAA}">
  <dimension ref="A3:B15"/>
  <sheetViews>
    <sheetView zoomScaleNormal="100" workbookViewId="0">
      <selection activeCell="G28" sqref="G28"/>
    </sheetView>
  </sheetViews>
  <sheetFormatPr defaultRowHeight="15" x14ac:dyDescent="0.25"/>
  <cols>
    <col min="1" max="1" width="13.42578125" bestFit="1" customWidth="1"/>
    <col min="2" max="2" width="15.85546875" bestFit="1" customWidth="1"/>
  </cols>
  <sheetData>
    <row r="3" spans="1:2" x14ac:dyDescent="0.25">
      <c r="A3" s="3" t="s">
        <v>18</v>
      </c>
      <c r="B3" t="s">
        <v>22</v>
      </c>
    </row>
    <row r="4" spans="1:2" x14ac:dyDescent="0.25">
      <c r="A4" s="4" t="s">
        <v>21</v>
      </c>
      <c r="B4" s="2">
        <v>306757650</v>
      </c>
    </row>
    <row r="5" spans="1:2" x14ac:dyDescent="0.25">
      <c r="A5" s="4" t="s">
        <v>32</v>
      </c>
      <c r="B5" s="2">
        <v>243136629</v>
      </c>
    </row>
    <row r="6" spans="1:2" x14ac:dyDescent="0.25">
      <c r="A6" s="4" t="s">
        <v>33</v>
      </c>
      <c r="B6" s="2">
        <v>245072016</v>
      </c>
    </row>
    <row r="7" spans="1:2" x14ac:dyDescent="0.25">
      <c r="A7" s="4" t="s">
        <v>34</v>
      </c>
      <c r="B7" s="2">
        <v>358730064</v>
      </c>
    </row>
    <row r="8" spans="1:2" x14ac:dyDescent="0.25">
      <c r="A8" s="4" t="s">
        <v>35</v>
      </c>
      <c r="B8" s="2">
        <v>269472023</v>
      </c>
    </row>
    <row r="9" spans="1:2" x14ac:dyDescent="0.25">
      <c r="A9" s="4" t="s">
        <v>36</v>
      </c>
      <c r="B9" s="2">
        <v>261187086</v>
      </c>
    </row>
    <row r="10" spans="1:2" x14ac:dyDescent="0.25">
      <c r="A10" s="4" t="s">
        <v>37</v>
      </c>
      <c r="B10" s="2">
        <v>267645566</v>
      </c>
    </row>
    <row r="11" spans="1:2" x14ac:dyDescent="0.25">
      <c r="A11" s="4" t="s">
        <v>38</v>
      </c>
      <c r="B11" s="2">
        <v>298426836</v>
      </c>
    </row>
    <row r="12" spans="1:2" x14ac:dyDescent="0.25">
      <c r="A12" s="4" t="s">
        <v>39</v>
      </c>
      <c r="B12" s="2">
        <v>278523881</v>
      </c>
    </row>
    <row r="13" spans="1:2" x14ac:dyDescent="0.25">
      <c r="A13" s="4" t="s">
        <v>40</v>
      </c>
      <c r="B13" s="2">
        <v>272827239</v>
      </c>
    </row>
    <row r="14" spans="1:2" x14ac:dyDescent="0.25">
      <c r="A14" s="4" t="s">
        <v>41</v>
      </c>
      <c r="B14" s="2">
        <v>249381507</v>
      </c>
    </row>
    <row r="15" spans="1:2" x14ac:dyDescent="0.25">
      <c r="A15" s="4" t="s">
        <v>42</v>
      </c>
      <c r="B15" s="2">
        <v>173343316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479B7-107C-4D4C-85DE-01F93BD8D5BE}">
  <dimension ref="A3:C13"/>
  <sheetViews>
    <sheetView workbookViewId="0">
      <selection activeCell="F24" sqref="F24"/>
    </sheetView>
  </sheetViews>
  <sheetFormatPr defaultRowHeight="15" x14ac:dyDescent="0.25"/>
  <cols>
    <col min="1" max="1" width="13.42578125" bestFit="1" customWidth="1"/>
    <col min="2" max="2" width="16.28515625" bestFit="1" customWidth="1"/>
    <col min="3" max="3" width="15.7109375" bestFit="1" customWidth="1"/>
  </cols>
  <sheetData>
    <row r="3" spans="1:3" x14ac:dyDescent="0.25">
      <c r="A3" s="3" t="s">
        <v>18</v>
      </c>
      <c r="B3" t="s">
        <v>26</v>
      </c>
      <c r="C3" t="s">
        <v>27</v>
      </c>
    </row>
    <row r="4" spans="1:3" x14ac:dyDescent="0.25">
      <c r="A4" s="5">
        <v>45499</v>
      </c>
      <c r="B4" s="2">
        <v>1120.5</v>
      </c>
      <c r="C4" s="2">
        <v>1083.5999999999999</v>
      </c>
    </row>
    <row r="5" spans="1:3" x14ac:dyDescent="0.25">
      <c r="A5" s="5">
        <v>45502</v>
      </c>
      <c r="B5" s="2">
        <v>1139.9000000000001</v>
      </c>
      <c r="C5" s="2">
        <v>1118.5999999999999</v>
      </c>
    </row>
    <row r="6" spans="1:3" x14ac:dyDescent="0.25">
      <c r="A6" s="5">
        <v>45503</v>
      </c>
      <c r="B6" s="2">
        <v>1179</v>
      </c>
      <c r="C6" s="2">
        <v>1118.5999999999999</v>
      </c>
    </row>
    <row r="7" spans="1:3" x14ac:dyDescent="0.25">
      <c r="A7" s="5">
        <v>45504</v>
      </c>
      <c r="B7" s="2">
        <v>1167.9000000000001</v>
      </c>
      <c r="C7" s="2">
        <v>1145.3</v>
      </c>
    </row>
    <row r="8" spans="1:3" x14ac:dyDescent="0.25">
      <c r="A8" s="5">
        <v>45505</v>
      </c>
      <c r="B8" s="2">
        <v>1176</v>
      </c>
      <c r="C8" s="2">
        <v>1136.5</v>
      </c>
    </row>
    <row r="9" spans="1:3" x14ac:dyDescent="0.25">
      <c r="A9" s="5">
        <v>45506</v>
      </c>
      <c r="B9" s="2">
        <v>1120</v>
      </c>
      <c r="C9" s="2">
        <v>1090.05</v>
      </c>
    </row>
    <row r="10" spans="1:3" x14ac:dyDescent="0.25">
      <c r="A10" s="5">
        <v>45523</v>
      </c>
      <c r="B10" s="2">
        <v>1107</v>
      </c>
      <c r="C10" s="2">
        <v>1085</v>
      </c>
    </row>
    <row r="11" spans="1:3" x14ac:dyDescent="0.25">
      <c r="A11" s="5">
        <v>45533</v>
      </c>
      <c r="B11" s="2">
        <v>1142</v>
      </c>
      <c r="C11" s="2">
        <v>1066</v>
      </c>
    </row>
    <row r="12" spans="1:3" x14ac:dyDescent="0.25">
      <c r="A12" s="5">
        <v>45534</v>
      </c>
      <c r="B12" s="2">
        <v>1115</v>
      </c>
      <c r="C12" s="2">
        <v>1097.45</v>
      </c>
    </row>
    <row r="13" spans="1:3" x14ac:dyDescent="0.25">
      <c r="A13" s="5">
        <v>45537</v>
      </c>
      <c r="B13" s="2">
        <v>1105</v>
      </c>
      <c r="C13" s="2">
        <v>1087.3499999999999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A3F8C-57B7-49E7-8C5B-681FFBF23FFD}">
  <dimension ref="A3:F9"/>
  <sheetViews>
    <sheetView workbookViewId="0">
      <selection activeCell="F4" sqref="F4"/>
    </sheetView>
  </sheetViews>
  <sheetFormatPr defaultRowHeight="15" x14ac:dyDescent="0.25"/>
  <cols>
    <col min="1" max="1" width="13.42578125" bestFit="1" customWidth="1"/>
    <col min="2" max="3" width="15.85546875" customWidth="1"/>
    <col min="5" max="5" width="13.42578125" bestFit="1" customWidth="1"/>
    <col min="6" max="6" width="16.28515625" bestFit="1" customWidth="1"/>
  </cols>
  <sheetData>
    <row r="3" spans="1:6" x14ac:dyDescent="0.25">
      <c r="A3" s="3" t="s">
        <v>18</v>
      </c>
      <c r="B3" t="s">
        <v>22</v>
      </c>
      <c r="E3" s="3" t="s">
        <v>18</v>
      </c>
      <c r="F3" t="s">
        <v>45</v>
      </c>
    </row>
    <row r="4" spans="1:6" x14ac:dyDescent="0.25">
      <c r="A4" s="4" t="s">
        <v>43</v>
      </c>
      <c r="B4" s="8">
        <v>2378402260</v>
      </c>
      <c r="C4" s="2"/>
      <c r="E4" s="4" t="s">
        <v>43</v>
      </c>
      <c r="F4" s="2">
        <v>948.2943850267377</v>
      </c>
    </row>
    <row r="5" spans="1:6" x14ac:dyDescent="0.25">
      <c r="A5" s="4" t="s">
        <v>44</v>
      </c>
      <c r="B5" s="8">
        <v>846101553</v>
      </c>
      <c r="E5" s="4" t="s">
        <v>44</v>
      </c>
      <c r="F5" s="2">
        <v>706.24919354838698</v>
      </c>
    </row>
    <row r="6" spans="1:6" x14ac:dyDescent="0.25">
      <c r="A6" s="4" t="s">
        <v>24</v>
      </c>
      <c r="B6" s="8">
        <v>3224503813</v>
      </c>
      <c r="E6" s="4" t="s">
        <v>24</v>
      </c>
      <c r="F6" s="2">
        <v>888.02610441767013</v>
      </c>
    </row>
    <row r="9" spans="1:6" x14ac:dyDescent="0.25">
      <c r="B9" s="7"/>
    </row>
  </sheetData>
  <pageMargins left="0.7" right="0.7" top="0.75" bottom="0.75" header="0.3" footer="0.3"/>
  <pageSetup paperSize="9" orientation="portrait"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F5F89-95BB-4554-AD59-0F923A61DAB6}">
  <dimension ref="A1"/>
  <sheetViews>
    <sheetView tabSelected="1" topLeftCell="C3" zoomScaleNormal="100" workbookViewId="0">
      <selection activeCell="F24" sqref="F24"/>
    </sheetView>
  </sheetViews>
  <sheetFormatPr defaultRowHeight="15" x14ac:dyDescent="0.25"/>
  <cols>
    <col min="1" max="16384" width="9.140625" style="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Dataset</vt:lpstr>
      <vt:lpstr>PT_PriceTrend</vt:lpstr>
      <vt:lpstr>PT_Monthly</vt:lpstr>
      <vt:lpstr>PT_52WeekHighLow</vt:lpstr>
      <vt:lpstr>Volume_Month</vt:lpstr>
      <vt:lpstr>PT_HighLow</vt:lpstr>
      <vt:lpstr>KPIs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2025-03-30T19:06:46Z</dcterms:created>
  <dcterms:modified xsi:type="dcterms:W3CDTF">2025-12-08T10:43:04Z</dcterms:modified>
</cp:coreProperties>
</file>